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ko\Desktop\4\"/>
    </mc:Choice>
  </mc:AlternateContent>
  <xr:revisionPtr revIDLastSave="0" documentId="13_ncr:1_{A0BD3CB2-BED8-4EAD-9DC6-69939A256E7E}" xr6:coauthVersionLast="47" xr6:coauthVersionMax="47" xr10:uidLastSave="{00000000-0000-0000-0000-000000000000}"/>
  <bookViews>
    <workbookView xWindow="-108" yWindow="-108" windowWidth="23256" windowHeight="12576" activeTab="2" xr2:uid="{D906834B-E96F-43D5-9389-C5767B075720}"/>
  </bookViews>
  <sheets>
    <sheet name="Расчёты old" sheetId="1" r:id="rId1"/>
    <sheet name="Расчеты new" sheetId="2" r:id="rId2"/>
    <sheet name="Партнеры" sheetId="3" r:id="rId3"/>
    <sheet name="алгоритм для CRM" sheetId="4" r:id="rId4"/>
    <sheet name="Условия по бонусированию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4" l="1"/>
  <c r="K13" i="4"/>
  <c r="J13" i="4"/>
  <c r="I13" i="4"/>
  <c r="H13" i="4"/>
  <c r="G13" i="4"/>
  <c r="F13" i="4"/>
  <c r="E13" i="4"/>
  <c r="D13" i="4"/>
  <c r="L10" i="4"/>
  <c r="K10" i="4"/>
  <c r="J10" i="4"/>
  <c r="I10" i="4"/>
  <c r="H10" i="4"/>
  <c r="G10" i="4"/>
  <c r="F10" i="4"/>
  <c r="E10" i="4"/>
  <c r="D10" i="4"/>
  <c r="C10" i="4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<sst xmlns="http://schemas.openxmlformats.org/spreadsheetml/2006/main" count="259" uniqueCount="158">
  <si>
    <t>Значение в CRM</t>
  </si>
  <si>
    <t>Комментарий (отличия формул из файла и значений в механизме CRM)</t>
  </si>
  <si>
    <t>Выручка в ТЦ без НДС</t>
  </si>
  <si>
    <t>[iek_revenue_no_nds]</t>
  </si>
  <si>
    <t>Сумма ТЦ без НДС (руб.)</t>
  </si>
  <si>
    <t>Валовая прибыль без НДС</t>
  </si>
  <si>
    <t>[iek_gross_profit_no_nds]</t>
  </si>
  <si>
    <t>Сумма Валовая прибыль, без НДС</t>
  </si>
  <si>
    <t>нужна формула в механизме</t>
  </si>
  <si>
    <t>R1</t>
  </si>
  <si>
    <t>[iek_r1]</t>
  </si>
  <si>
    <t>R2</t>
  </si>
  <si>
    <t>[iek_r2]</t>
  </si>
  <si>
    <t>R3</t>
  </si>
  <si>
    <t>[iek_r3]</t>
  </si>
  <si>
    <t>Условно-постоянные расходы</t>
  </si>
  <si>
    <t>[iek_cond_const]</t>
  </si>
  <si>
    <t>Условно-переменные расходы</t>
  </si>
  <si>
    <t>[iek_cond_var]</t>
  </si>
  <si>
    <t>Цена с прогнозной скидкой</t>
  </si>
  <si>
    <t>[iek_margin_profit_no_nds]</t>
  </si>
  <si>
    <t>Прибыль от продаж без НДС</t>
  </si>
  <si>
    <t>[iek_sales_profit_no_nds]</t>
  </si>
  <si>
    <t>Прибыль от продаж с НДС</t>
  </si>
  <si>
    <t>[iek_sales_profit]</t>
  </si>
  <si>
    <t>уточнить у Ивана, по формуле</t>
  </si>
  <si>
    <t>Прибыль вменен без НДС</t>
  </si>
  <si>
    <t>[iek_opp_profit_no_nds]</t>
  </si>
  <si>
    <t>Наименование поля в CRM</t>
  </si>
  <si>
    <t>Схема поля в CRM</t>
  </si>
  <si>
    <t>Наименование столбца в файле</t>
  </si>
  <si>
    <t>Значение в файле</t>
  </si>
  <si>
    <t>№ п/п</t>
  </si>
  <si>
    <t>верно указала формулу</t>
  </si>
  <si>
    <r>
      <rPr>
        <sz val="8"/>
        <color rgb="FF00B050"/>
        <rFont val="Segoe UI"/>
        <family val="2"/>
        <charset val="204"/>
      </rPr>
      <t>Должно заполняться из поля "Цена в прайс-листе" [price] из сущности Продукт [product]</t>
    </r>
    <r>
      <rPr>
        <sz val="8"/>
        <color rgb="FF172B4D"/>
        <rFont val="Segoe UI"/>
        <family val="2"/>
        <charset val="204"/>
      </rPr>
      <t xml:space="preserve">
В механизме CRM [Выручка В ТЦ без НДС] умножается на (1-[Корректировка_МП]), где [Корректировка_МП] зависит от Страны и Расходной цены * Округлённое количество/Лимит/Max2.</t>
    </r>
  </si>
  <si>
    <t>Маржинальная прибыль без НДС</t>
  </si>
  <si>
    <t>Маржинальная прибыль</t>
  </si>
  <si>
    <t>Прибыль от продаж</t>
  </si>
  <si>
    <t>137763.57</t>
  </si>
  <si>
    <t>125123.46</t>
  </si>
  <si>
    <t>124940.27</t>
  </si>
  <si>
    <t>R3.1 расчетное</t>
  </si>
  <si>
    <t>R3.1</t>
  </si>
  <si>
    <t>[iek_r3_opp]</t>
  </si>
  <si>
    <t>Сумма вмененных</t>
  </si>
  <si>
    <t>поля нет вычисляется в механизме</t>
  </si>
  <si>
    <t>формула из механизма</t>
  </si>
  <si>
    <r>
      <t>В механизме CRM [Мар прибыль без НДС] умножается на (1-</t>
    </r>
    <r>
      <rPr>
        <sz val="8"/>
        <color rgb="FFFF0000"/>
        <rFont val="Segoe UI"/>
        <family val="2"/>
        <charset val="204"/>
      </rPr>
      <t>[Корректировка_МП]</t>
    </r>
    <r>
      <rPr>
        <sz val="8"/>
        <color rgb="FF172B4D"/>
        <rFont val="Segoe UI"/>
        <family val="2"/>
        <charset val="204"/>
      </rPr>
      <t>), где [Корректировка_МП] зависит от Страны и Расходной цены * Округлённое количество/Лимит/Max2.</t>
    </r>
  </si>
  <si>
    <r>
      <t>В механизме CRM [Прибыль от продаж без НДС] умножается на (1-</t>
    </r>
    <r>
      <rPr>
        <sz val="8"/>
        <color rgb="FFFF0000"/>
        <rFont val="Segoe UI"/>
        <family val="2"/>
        <charset val="204"/>
      </rPr>
      <t>[Корректировка_МП]</t>
    </r>
    <r>
      <rPr>
        <sz val="8"/>
        <color rgb="FF172B4D"/>
        <rFont val="Segoe UI"/>
        <family val="2"/>
        <charset val="204"/>
      </rPr>
      <t>), где [Корректировка_МП] зависит от Страны и Расходной цены * Округлённое количество/Лимит/Max2. </t>
    </r>
  </si>
  <si>
    <r>
      <t>В механизме CRM [Прибыль вменен без НДС] умножается на (1-</t>
    </r>
    <r>
      <rPr>
        <sz val="8"/>
        <color rgb="FFFF0000"/>
        <rFont val="Segoe UI"/>
        <family val="2"/>
        <charset val="204"/>
      </rPr>
      <t>[Корректировка_МП]</t>
    </r>
    <r>
      <rPr>
        <sz val="8"/>
        <color rgb="FF172B4D"/>
        <rFont val="Segoe UI"/>
        <family val="2"/>
        <charset val="204"/>
      </rPr>
      <t>), где [Корректировка_МП] зависит от Страны и Расходной цены * Округлённое количество/Лимит/Max2. </t>
    </r>
  </si>
  <si>
    <t>Должно заполняться из поля "Цена в прайс-листе" [price] из сущности Продукт [product]</t>
  </si>
  <si>
    <t>[Выручка В ТЦ без НДС]*(1-[Корректировка_МП]) - [Себестоимость]*[Округлённое количество]</t>
  </si>
  <si>
    <t>[Валовая Прибыль без НДС]/[Выручка В ТЦ без НДС]</t>
  </si>
  <si>
    <t>[Маржинальная прибыль без НДС]/[Выручка В ТЦ без НДС]</t>
  </si>
  <si>
    <t>[Прибыль от продаж без НДС]/[Выручка В ТЦ без НДС]</t>
  </si>
  <si>
    <t>[Прибыль вменен без НДС]/[Выручка В ТЦ без НДС]</t>
  </si>
  <si>
    <t>[Цена с прогнозной скидкой]*[Доля условно-постоянных расходов]*[Округлённое количество]</t>
  </si>
  <si>
    <t>Доля условно-постоянных расходов берётся из соответствующей записи Расходов для расчета рентабельности</t>
  </si>
  <si>
    <r>
      <t>([Цена за продукт]/1,2*(1-[Желаемая скидка]/100))*([Процент бонуса]/100)+([Доля условно-переменных расходов]</t>
    </r>
    <r>
      <rPr>
        <sz val="8"/>
        <color rgb="FFFF0000"/>
        <rFont val="Segoe UI"/>
        <family val="2"/>
        <charset val="204"/>
      </rPr>
      <t>-[Процент бонуса]/100</t>
    </r>
    <r>
      <rPr>
        <sz val="8"/>
        <color rgb="FF000000"/>
        <rFont val="Segoe UI"/>
        <family val="2"/>
        <charset val="204"/>
      </rPr>
      <t>)*[Цена с прогнозной скидкой]</t>
    </r>
  </si>
  <si>
    <t>Доля условно-переменных расходов берётся из соответствующей записи Расходов для расчета рентабельности</t>
  </si>
  <si>
    <t>Процент бонуса расчитывается в соответствии с пунктом 2.2. постановки по задаче 609665.</t>
  </si>
  <si>
    <t>[Цена продукта]*(1-СкидкаОсновная)/1.2, где СкидкаОсновная берётся из таблицы DiscountModel по подгруппе.</t>
  </si>
  <si>
    <t>Если не нашли в DiscountModel, то:</t>
  </si>
  <si>
    <t>Если продуктовая группа начинается на "20.", то [Цена продукта]*0.6/1.2</t>
  </si>
  <si>
    <t>Если продуктовая группа начинается на "30." или "31.", то [Цена продукта]*0.5/1.2</t>
  </si>
  <si>
    <t>Иначе [Цена продукта]*0.49/1.2.</t>
  </si>
  <si>
    <t>В механизме CRM формула = [Выручка В ТЦ без НДС]*(1-[Корректировка_МП]) - [Себестоимость]*[Округлённое количество] - [Усл перем расх]</t>
  </si>
  <si>
    <t>В механизме CRM формула =[Выручка В ТЦ без НДС]*(1-[Корректировка_МП]) - [Себестоимость]*[Округлённое количество] - [Усл перем расх] - [Усл пост расх] - [Расх за доп отсрочку]</t>
  </si>
  <si>
    <t>В механизме CRM формула =[Выручка В ТЦ без НДС]*(1-[Корректировка_МП]) - [Себестоимость]*[Округлённое количество] - [Усл перем расх] - [Усл пост расх] - [Расх за доп отсрочку] - [Вменен расх]</t>
  </si>
  <si>
    <t>Вопросы</t>
  </si>
  <si>
    <t>Не заполняется для отдельного продукта, но заполняется для всего Тендера ([Прибыль от продажи без НДС]*[НДС]). Считается вне механизма, когда рентабельность расчитывается для всего Тендера (всех продуктов тендера).</t>
  </si>
  <si>
    <t>Подгруппа берётся из БД CRM IEK_Extensions (как и Направление аналитики) - копия таблицы из БД Аналитиков</t>
  </si>
  <si>
    <t>Доп. вопрос: в формуле из файла не происходит вычитание бонуса из доли условно-переменных расходов (выделил красным). Получается убираем это из формулы механизма? Верно. Доля Бонуса общий к выручке по направлению считать от ТЦ без НДС, а не от прогнозной цены</t>
  </si>
  <si>
    <t xml:space="preserve">В механизме CRM [Выручка В ТЦ без НДС] умножается на (1-[Корректировка_МП]), где [Корректировка_МП] зависит от Страны и Расходной цены * Округлённое количество/Лимит/Max2.
[Корректировка_МП] логика: 
1) Берём самое минимальное значение из этих трёх Округлённое количество/Лимит/Max2 
2) Умножаем его на Расходную цену
3) Если полученное значение от 0 до 500000, то [Корректировка_МП] = 0.01, если больше 500000 то [Корректировка_МП] = 0.09. В остальных случаях она равна 0. </t>
  </si>
  <si>
    <t>Процент бонуса от цены реализации по КП</t>
  </si>
  <si>
    <t>Бонус при регистрации и скидке выше 57%</t>
  </si>
  <si>
    <t>Бонус при защите и скидке выше 60%</t>
  </si>
  <si>
    <t>Если "Без статуса" и скидка ниже 57%, то платим половину %% бонуса</t>
  </si>
  <si>
    <r>
      <t xml:space="preserve">Для МКНС независимо от скидки и статуса по сделке при продаже на сумму выше </t>
    </r>
    <r>
      <rPr>
        <b/>
        <u/>
        <sz val="11"/>
        <rFont val="Calibri"/>
        <family val="2"/>
        <charset val="204"/>
      </rPr>
      <t>300 000 руб</t>
    </r>
    <r>
      <rPr>
        <sz val="11"/>
        <rFont val="Calibri"/>
        <family val="2"/>
        <charset val="204"/>
      </rPr>
      <t>. с НДС начисляем полный процент бонуса</t>
    </r>
  </si>
  <si>
    <t>Проектный партнер</t>
  </si>
  <si>
    <t>АВС-электро</t>
  </si>
  <si>
    <t>ИРБИС</t>
  </si>
  <si>
    <t>КРАСНОДАРЭЛЕКТРО</t>
  </si>
  <si>
    <t>Кристалл</t>
  </si>
  <si>
    <t>Минимакс</t>
  </si>
  <si>
    <t>РОС-электро</t>
  </si>
  <si>
    <t>Русский Свет</t>
  </si>
  <si>
    <t>Толедо</t>
  </si>
  <si>
    <t>Уралэнерго</t>
  </si>
  <si>
    <t>Фаворит-Электро</t>
  </si>
  <si>
    <t>ЭКС Новосибирск</t>
  </si>
  <si>
    <t>Элевел</t>
  </si>
  <si>
    <t>Электростиль, ТД</t>
  </si>
  <si>
    <t>Элком-Электро</t>
  </si>
  <si>
    <t>ЭТМ</t>
  </si>
  <si>
    <t>Остальные</t>
  </si>
  <si>
    <t>Статус проекта</t>
  </si>
  <si>
    <t>Отсутствует</t>
  </si>
  <si>
    <t>Регистрация</t>
  </si>
  <si>
    <t>Защита</t>
  </si>
  <si>
    <t>Скидка</t>
  </si>
  <si>
    <t>Новая сущность КУ.Бонус для партнера</t>
  </si>
  <si>
    <t>КУ. Дополнительная Бонусная программа</t>
  </si>
  <si>
    <t>Период</t>
  </si>
  <si>
    <t>БЕ</t>
  </si>
  <si>
    <t>Тип статуса</t>
  </si>
  <si>
    <t>Условие</t>
  </si>
  <si>
    <t>Сумма</t>
  </si>
  <si>
    <t>Процент бонуса</t>
  </si>
  <si>
    <t>Проектный годовой бонус для проектных партнеров SO 2025 - 2025_ЭТМ</t>
  </si>
  <si>
    <t>% от цены партнера</t>
  </si>
  <si>
    <t>Бонус при регистрации</t>
  </si>
  <si>
    <t>больше</t>
  </si>
  <si>
    <t>Бонус при защите</t>
  </si>
  <si>
    <t>Без статуса</t>
  </si>
  <si>
    <t>меньше</t>
  </si>
  <si>
    <t>УСПЭ МКНС</t>
  </si>
  <si>
    <t>Для БЕ</t>
  </si>
  <si>
    <t>Сумма по БЕ с НДС больше</t>
  </si>
  <si>
    <t>Проценты Усл-пер и Усл-пост расходов применять НЕ к ЦМС, а к Цене со средней фактической скидкой по принадлежности SKU к  Группе ДДП за прошедший период.</t>
  </si>
  <si>
    <t>Проценты Усл-пер и Усл-пост расходов к выручке</t>
  </si>
  <si>
    <t>направления РФ</t>
  </si>
  <si>
    <t>Автоматизация</t>
  </si>
  <si>
    <t>НВО ОПРЭ</t>
  </si>
  <si>
    <t>Светотехника</t>
  </si>
  <si>
    <t>НВО ССРЭ</t>
  </si>
  <si>
    <t>Телеком</t>
  </si>
  <si>
    <t>МК</t>
  </si>
  <si>
    <t>МКНС</t>
  </si>
  <si>
    <t>ПКНС</t>
  </si>
  <si>
    <t>ПК</t>
  </si>
  <si>
    <t>Условно-Переменные расходы</t>
  </si>
  <si>
    <t>Доля Усл-пер Все  (БЕЗ Бонуса) в выручке СКЛАД и ДОСТАВКА</t>
  </si>
  <si>
    <t>ДОСТАВКА</t>
  </si>
  <si>
    <t>Доля Бонуса общий к выручке</t>
  </si>
  <si>
    <t xml:space="preserve">БЫЛО ФАКТ </t>
  </si>
  <si>
    <t>Доля Усл-пер к выручке</t>
  </si>
  <si>
    <t>Условно-Постоянные расходы</t>
  </si>
  <si>
    <t>Доля  Усл-пост к выручке</t>
  </si>
  <si>
    <t>Вмененные</t>
  </si>
  <si>
    <t>Доля вмененных</t>
  </si>
  <si>
    <t>Расходы ИЭК Холдинга</t>
  </si>
  <si>
    <t>Доля итого расходов к выручке</t>
  </si>
  <si>
    <t>Статус по сделке</t>
  </si>
  <si>
    <t>Начисление бонуса</t>
  </si>
  <si>
    <t>скидка</t>
  </si>
  <si>
    <t xml:space="preserve"> &gt; = 57%</t>
  </si>
  <si>
    <t>отсутствует</t>
  </si>
  <si>
    <t>&lt; 57%</t>
  </si>
  <si>
    <r>
      <rPr>
        <b/>
        <sz val="11"/>
        <rFont val="Calibri"/>
        <family val="2"/>
        <charset val="204"/>
      </rPr>
      <t>1/2</t>
    </r>
    <r>
      <rPr>
        <sz val="11"/>
        <rFont val="Calibri"/>
        <family val="2"/>
        <charset val="204"/>
      </rPr>
      <t xml:space="preserve"> Бонуса проектным портнерам и </t>
    </r>
    <r>
      <rPr>
        <b/>
        <sz val="11"/>
        <rFont val="Calibri"/>
        <family val="2"/>
        <charset val="204"/>
      </rPr>
      <t>0%</t>
    </r>
    <r>
      <rPr>
        <sz val="11"/>
        <rFont val="Calibri"/>
        <family val="2"/>
        <charset val="204"/>
      </rPr>
      <t xml:space="preserve"> остальным</t>
    </r>
  </si>
  <si>
    <t>регистрация</t>
  </si>
  <si>
    <r>
      <rPr>
        <b/>
        <sz val="11"/>
        <rFont val="Calibri"/>
        <family val="2"/>
        <charset val="204"/>
      </rPr>
      <t xml:space="preserve">3% </t>
    </r>
    <r>
      <rPr>
        <sz val="11"/>
        <rFont val="Calibri"/>
        <family val="2"/>
        <charset val="204"/>
      </rPr>
      <t xml:space="preserve"> проектным партнерам,    </t>
    </r>
    <r>
      <rPr>
        <b/>
        <sz val="11"/>
        <rFont val="Calibri"/>
        <family val="2"/>
        <charset val="204"/>
      </rPr>
      <t xml:space="preserve">4% </t>
    </r>
    <r>
      <rPr>
        <sz val="11"/>
        <rFont val="Calibri"/>
        <family val="2"/>
        <charset val="204"/>
      </rPr>
      <t xml:space="preserve"> ЭТМ    и     </t>
    </r>
    <r>
      <rPr>
        <b/>
        <sz val="11"/>
        <rFont val="Calibri"/>
        <family val="2"/>
        <charset val="204"/>
      </rPr>
      <t>0%</t>
    </r>
    <r>
      <rPr>
        <sz val="11"/>
        <rFont val="Calibri"/>
        <family val="2"/>
        <charset val="204"/>
      </rPr>
      <t xml:space="preserve"> остальным</t>
    </r>
  </si>
  <si>
    <r>
      <rPr>
        <b/>
        <sz val="11"/>
        <rFont val="Calibri"/>
        <family val="2"/>
        <charset val="204"/>
      </rPr>
      <t>полный бонус</t>
    </r>
    <r>
      <rPr>
        <sz val="11"/>
        <rFont val="Calibri"/>
        <family val="2"/>
        <charset val="204"/>
      </rPr>
      <t xml:space="preserve"> проектным    и    </t>
    </r>
    <r>
      <rPr>
        <b/>
        <sz val="11"/>
        <rFont val="Calibri"/>
        <family val="2"/>
        <charset val="204"/>
      </rPr>
      <t>3%</t>
    </r>
    <r>
      <rPr>
        <sz val="11"/>
        <rFont val="Calibri"/>
        <family val="2"/>
        <charset val="204"/>
      </rPr>
      <t xml:space="preserve"> остальным</t>
    </r>
  </si>
  <si>
    <t xml:space="preserve"> &gt; = 60%</t>
  </si>
  <si>
    <t>защита</t>
  </si>
  <si>
    <r>
      <rPr>
        <b/>
        <sz val="11"/>
        <rFont val="Calibri"/>
        <family val="2"/>
        <charset val="204"/>
      </rPr>
      <t>5%</t>
    </r>
    <r>
      <rPr>
        <sz val="11"/>
        <rFont val="Calibri"/>
        <family val="2"/>
        <charset val="204"/>
      </rPr>
      <t xml:space="preserve">  проектным партнерам,    </t>
    </r>
    <r>
      <rPr>
        <b/>
        <sz val="11"/>
        <rFont val="Calibri"/>
        <family val="2"/>
        <charset val="204"/>
      </rPr>
      <t>6%</t>
    </r>
    <r>
      <rPr>
        <sz val="11"/>
        <rFont val="Calibri"/>
        <family val="2"/>
        <charset val="204"/>
      </rPr>
      <t xml:space="preserve">  ЭТМ    и     </t>
    </r>
    <r>
      <rPr>
        <b/>
        <sz val="11"/>
        <rFont val="Calibri"/>
        <family val="2"/>
        <charset val="204"/>
      </rPr>
      <t>0%</t>
    </r>
    <r>
      <rPr>
        <sz val="11"/>
        <rFont val="Calibri"/>
        <family val="2"/>
        <charset val="204"/>
      </rPr>
      <t xml:space="preserve"> остальным</t>
    </r>
  </si>
  <si>
    <t>&lt; 60%</t>
  </si>
  <si>
    <r>
      <rPr>
        <b/>
        <sz val="11"/>
        <rFont val="Calibri"/>
        <family val="2"/>
        <charset val="204"/>
      </rPr>
      <t>полный бонус</t>
    </r>
    <r>
      <rPr>
        <sz val="11"/>
        <rFont val="Calibri"/>
        <family val="2"/>
        <charset val="204"/>
      </rPr>
      <t xml:space="preserve"> проектным    и    </t>
    </r>
    <r>
      <rPr>
        <b/>
        <sz val="11"/>
        <rFont val="Calibri"/>
        <family val="2"/>
        <charset val="204"/>
      </rPr>
      <t>5%</t>
    </r>
    <r>
      <rPr>
        <sz val="11"/>
        <rFont val="Calibri"/>
        <family val="2"/>
        <charset val="204"/>
      </rPr>
      <t xml:space="preserve"> остальным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</si>
</sst>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8"/>
      <color rgb="FF172B4D"/>
      <name val="Segoe UI"/>
      <family val="2"/>
      <charset val="204"/>
    </font>
    <font>
      <sz val="8"/>
      <color rgb="FFDE350B"/>
      <name val="Segoe UI"/>
      <family val="2"/>
      <charset val="204"/>
    </font>
    <font>
      <b/>
      <sz val="11"/>
      <color rgb="FF006100"/>
      <name val="Calibri"/>
      <family val="2"/>
      <charset val="204"/>
      <scheme val="minor"/>
    </font>
    <font>
      <sz val="8"/>
      <color rgb="FF00B050"/>
      <name val="Segoe UI"/>
      <family val="2"/>
      <charset val="204"/>
    </font>
    <font>
      <sz val="8"/>
      <color rgb="FF444444"/>
      <name val="Segoe UI"/>
      <family val="2"/>
      <charset val="204"/>
    </font>
    <font>
      <sz val="8"/>
      <color rgb="FFFF0000"/>
      <name val="Segoe UI"/>
      <family val="2"/>
      <charset val="204"/>
    </font>
    <font>
      <sz val="11"/>
      <color rgb="FF9C57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</font>
    <font>
      <b/>
      <u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Arial Cyr"/>
      <charset val="204"/>
    </font>
    <font>
      <b/>
      <sz val="8"/>
      <color theme="1"/>
      <name val="Arial"/>
      <family val="2"/>
      <charset val="204"/>
    </font>
    <font>
      <sz val="11"/>
      <color theme="0" tint="-0.499984740745262"/>
      <name val="Calibri"/>
      <family val="2"/>
      <charset val="204"/>
    </font>
    <font>
      <sz val="10"/>
      <name val="Arial Cyr"/>
      <charset val="204"/>
    </font>
    <font>
      <i/>
      <sz val="12"/>
      <color theme="1"/>
      <name val="Arial"/>
      <family val="2"/>
      <charset val="204"/>
    </font>
    <font>
      <sz val="8"/>
      <name val="Calibri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0" fillId="0" borderId="0"/>
  </cellStyleXfs>
  <cellXfs count="119">
    <xf numFmtId="0" fontId="0" fillId="0" borderId="0" xfId="0"/>
    <xf numFmtId="0" fontId="4" fillId="2" borderId="1" xfId="1" applyFont="1" applyBorder="1" applyAlignment="1">
      <alignment horizontal="center" vertical="center" wrapText="1"/>
    </xf>
    <xf numFmtId="0" fontId="4" fillId="2" borderId="0" xfId="1" applyFont="1" applyAlignment="1">
      <alignment wrapText="1"/>
    </xf>
    <xf numFmtId="0" fontId="0" fillId="0" borderId="1" xfId="0" applyBorder="1" applyAlignment="1">
      <alignment horizontal="left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right" vertical="top"/>
    </xf>
    <xf numFmtId="0" fontId="6" fillId="0" borderId="0" xfId="0" applyFont="1"/>
    <xf numFmtId="0" fontId="2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9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0" xfId="0" applyFont="1" applyAlignment="1"/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4" fillId="5" borderId="0" xfId="0" applyFont="1" applyFill="1" applyAlignment="1">
      <alignment vertical="center" wrapText="1"/>
    </xf>
    <xf numFmtId="0" fontId="8" fillId="4" borderId="1" xfId="2" applyBorder="1" applyAlignment="1">
      <alignment vertical="center" wrapText="1"/>
    </xf>
    <xf numFmtId="0" fontId="9" fillId="0" borderId="1" xfId="0" applyFont="1" applyBorder="1" applyAlignment="1"/>
    <xf numFmtId="0" fontId="9" fillId="0" borderId="1" xfId="0" applyFont="1" applyBorder="1" applyAlignment="1">
      <alignment wrapText="1"/>
    </xf>
    <xf numFmtId="0" fontId="9" fillId="0" borderId="1" xfId="0" applyFont="1" applyBorder="1" applyAlignment="1"/>
    <xf numFmtId="0" fontId="2" fillId="0" borderId="4" xfId="0" applyFont="1" applyFill="1" applyBorder="1" applyAlignment="1">
      <alignment vertical="center"/>
    </xf>
    <xf numFmtId="0" fontId="9" fillId="0" borderId="1" xfId="0" applyFont="1" applyBorder="1" applyAlignment="1">
      <alignment wrapText="1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2" fillId="6" borderId="2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1" xfId="0" applyFont="1" applyBorder="1" applyAlignment="1"/>
    <xf numFmtId="0" fontId="2" fillId="0" borderId="2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14" fillId="0" borderId="0" xfId="3"/>
    <xf numFmtId="0" fontId="14" fillId="0" borderId="1" xfId="3" applyBorder="1" applyAlignment="1">
      <alignment wrapText="1"/>
    </xf>
    <xf numFmtId="0" fontId="14" fillId="0" borderId="1" xfId="3" applyBorder="1"/>
    <xf numFmtId="0" fontId="14" fillId="0" borderId="1" xfId="3" applyBorder="1" applyAlignment="1">
      <alignment vertical="center"/>
    </xf>
    <xf numFmtId="0" fontId="14" fillId="0" borderId="1" xfId="3" applyBorder="1" applyAlignment="1">
      <alignment vertical="center" wrapText="1"/>
    </xf>
    <xf numFmtId="0" fontId="14" fillId="7" borderId="1" xfId="3" applyFill="1" applyBorder="1" applyAlignment="1">
      <alignment vertical="center" wrapText="1"/>
    </xf>
    <xf numFmtId="10" fontId="0" fillId="0" borderId="0" xfId="4" applyNumberFormat="1" applyFont="1" applyAlignment="1">
      <alignment horizontal="center" vertical="center"/>
    </xf>
    <xf numFmtId="9" fontId="0" fillId="0" borderId="0" xfId="4" applyFont="1" applyAlignment="1">
      <alignment horizontal="center" vertical="center"/>
    </xf>
    <xf numFmtId="10" fontId="0" fillId="0" borderId="0" xfId="4" applyNumberFormat="1" applyFont="1" applyAlignment="1">
      <alignment horizontal="center"/>
    </xf>
    <xf numFmtId="0" fontId="14" fillId="8" borderId="0" xfId="3" applyFill="1"/>
    <xf numFmtId="0" fontId="14" fillId="9" borderId="0" xfId="3" applyFill="1"/>
    <xf numFmtId="0" fontId="14" fillId="9" borderId="0" xfId="3" applyFill="1" applyAlignment="1">
      <alignment horizontal="right"/>
    </xf>
    <xf numFmtId="0" fontId="16" fillId="3" borderId="0" xfId="3" applyFont="1" applyFill="1"/>
    <xf numFmtId="0" fontId="16" fillId="0" borderId="1" xfId="3" applyFont="1" applyBorder="1"/>
    <xf numFmtId="10" fontId="0" fillId="0" borderId="1" xfId="4" applyNumberFormat="1" applyFont="1" applyBorder="1" applyAlignment="1">
      <alignment horizontal="center" vertical="center"/>
    </xf>
    <xf numFmtId="0" fontId="14" fillId="0" borderId="1" xfId="3" applyBorder="1" applyAlignment="1">
      <alignment horizontal="center"/>
    </xf>
    <xf numFmtId="9" fontId="0" fillId="0" borderId="1" xfId="4" applyFont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/>
    </xf>
    <xf numFmtId="0" fontId="13" fillId="10" borderId="0" xfId="3" applyFont="1" applyFill="1"/>
    <xf numFmtId="0" fontId="14" fillId="10" borderId="0" xfId="3" applyFill="1"/>
    <xf numFmtId="0" fontId="12" fillId="0" borderId="5" xfId="3" applyFont="1" applyBorder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0" fontId="17" fillId="11" borderId="7" xfId="3" applyFont="1" applyFill="1" applyBorder="1" applyAlignment="1">
      <alignment horizontal="center" vertical="center" wrapText="1"/>
    </xf>
    <xf numFmtId="0" fontId="18" fillId="12" borderId="8" xfId="3" applyFont="1" applyFill="1" applyBorder="1" applyAlignment="1">
      <alignment horizontal="center" vertical="center" wrapText="1"/>
    </xf>
    <xf numFmtId="0" fontId="18" fillId="12" borderId="9" xfId="3" applyFont="1" applyFill="1" applyBorder="1" applyAlignment="1">
      <alignment horizontal="center" vertical="center" wrapText="1"/>
    </xf>
    <xf numFmtId="0" fontId="12" fillId="13" borderId="10" xfId="3" applyFont="1" applyFill="1" applyBorder="1" applyAlignment="1">
      <alignment horizontal="center" vertical="center" wrapText="1"/>
    </xf>
    <xf numFmtId="0" fontId="14" fillId="13" borderId="11" xfId="3" applyFill="1" applyBorder="1" applyAlignment="1">
      <alignment horizontal="center" vertical="center" wrapText="1"/>
    </xf>
    <xf numFmtId="10" fontId="0" fillId="13" borderId="12" xfId="4" applyNumberFormat="1" applyFont="1" applyFill="1" applyBorder="1" applyAlignment="1">
      <alignment horizontal="center" vertical="center"/>
    </xf>
    <xf numFmtId="10" fontId="0" fillId="13" borderId="13" xfId="4" applyNumberFormat="1" applyFont="1" applyFill="1" applyBorder="1" applyAlignment="1">
      <alignment horizontal="center" vertical="center"/>
    </xf>
    <xf numFmtId="10" fontId="14" fillId="13" borderId="13" xfId="3" applyNumberFormat="1" applyFill="1" applyBorder="1" applyAlignment="1">
      <alignment horizontal="center" vertical="center"/>
    </xf>
    <xf numFmtId="10" fontId="14" fillId="13" borderId="14" xfId="3" applyNumberFormat="1" applyFill="1" applyBorder="1" applyAlignment="1">
      <alignment horizontal="center" vertical="center"/>
    </xf>
    <xf numFmtId="0" fontId="12" fillId="13" borderId="15" xfId="3" applyFont="1" applyFill="1" applyBorder="1" applyAlignment="1">
      <alignment horizontal="center" vertical="center" wrapText="1"/>
    </xf>
    <xf numFmtId="0" fontId="14" fillId="13" borderId="16" xfId="3" applyFill="1" applyBorder="1" applyAlignment="1">
      <alignment horizontal="center" vertical="center" wrapText="1"/>
    </xf>
    <xf numFmtId="10" fontId="19" fillId="13" borderId="17" xfId="4" applyNumberFormat="1" applyFont="1" applyFill="1" applyBorder="1" applyAlignment="1">
      <alignment horizontal="center" vertical="center"/>
    </xf>
    <xf numFmtId="10" fontId="19" fillId="13" borderId="4" xfId="4" applyNumberFormat="1" applyFont="1" applyFill="1" applyBorder="1" applyAlignment="1">
      <alignment horizontal="center" vertical="center"/>
    </xf>
    <xf numFmtId="10" fontId="19" fillId="13" borderId="4" xfId="3" applyNumberFormat="1" applyFont="1" applyFill="1" applyBorder="1" applyAlignment="1">
      <alignment horizontal="center" vertical="center"/>
    </xf>
    <xf numFmtId="10" fontId="19" fillId="13" borderId="18" xfId="3" applyNumberFormat="1" applyFont="1" applyFill="1" applyBorder="1" applyAlignment="1">
      <alignment horizontal="center" vertical="center"/>
    </xf>
    <xf numFmtId="0" fontId="14" fillId="13" borderId="19" xfId="3" applyFill="1" applyBorder="1" applyAlignment="1">
      <alignment horizontal="center" vertical="center" wrapText="1"/>
    </xf>
    <xf numFmtId="10" fontId="0" fillId="13" borderId="20" xfId="4" applyNumberFormat="1" applyFont="1" applyFill="1" applyBorder="1" applyAlignment="1">
      <alignment horizontal="center" vertical="center"/>
    </xf>
    <xf numFmtId="10" fontId="0" fillId="13" borderId="21" xfId="4" applyNumberFormat="1" applyFont="1" applyFill="1" applyBorder="1" applyAlignment="1">
      <alignment horizontal="center" vertical="center"/>
    </xf>
    <xf numFmtId="10" fontId="0" fillId="13" borderId="22" xfId="4" applyNumberFormat="1" applyFont="1" applyFill="1" applyBorder="1" applyAlignment="1">
      <alignment horizontal="center" vertical="center"/>
    </xf>
    <xf numFmtId="0" fontId="12" fillId="13" borderId="15" xfId="3" applyFont="1" applyFill="1" applyBorder="1" applyAlignment="1">
      <alignment horizontal="center" vertical="center" wrapText="1"/>
    </xf>
    <xf numFmtId="0" fontId="11" fillId="8" borderId="16" xfId="3" applyFont="1" applyFill="1" applyBorder="1" applyAlignment="1">
      <alignment horizontal="center" vertical="center" wrapText="1"/>
    </xf>
    <xf numFmtId="10" fontId="11" fillId="8" borderId="17" xfId="4" applyNumberFormat="1" applyFont="1" applyFill="1" applyBorder="1" applyAlignment="1">
      <alignment horizontal="center" vertical="center"/>
    </xf>
    <xf numFmtId="10" fontId="11" fillId="8" borderId="23" xfId="4" applyNumberFormat="1" applyFont="1" applyFill="1" applyBorder="1" applyAlignment="1">
      <alignment horizontal="center" vertical="center"/>
    </xf>
    <xf numFmtId="0" fontId="16" fillId="8" borderId="24" xfId="3" applyFont="1" applyFill="1" applyBorder="1" applyAlignment="1">
      <alignment horizontal="center" vertical="center" wrapText="1"/>
    </xf>
    <xf numFmtId="0" fontId="14" fillId="8" borderId="24" xfId="3" applyFill="1" applyBorder="1" applyAlignment="1">
      <alignment horizontal="center" vertical="center" wrapText="1"/>
    </xf>
    <xf numFmtId="10" fontId="0" fillId="8" borderId="25" xfId="4" applyNumberFormat="1" applyFont="1" applyFill="1" applyBorder="1" applyAlignment="1">
      <alignment horizontal="center" vertical="center"/>
    </xf>
    <xf numFmtId="10" fontId="0" fillId="8" borderId="6" xfId="4" applyNumberFormat="1" applyFont="1" applyFill="1" applyBorder="1" applyAlignment="1">
      <alignment horizontal="center" vertical="center"/>
    </xf>
    <xf numFmtId="0" fontId="12" fillId="14" borderId="10" xfId="3" applyFont="1" applyFill="1" applyBorder="1" applyAlignment="1">
      <alignment horizontal="center" vertical="center" wrapText="1"/>
    </xf>
    <xf numFmtId="0" fontId="14" fillId="14" borderId="26" xfId="3" applyFill="1" applyBorder="1" applyAlignment="1">
      <alignment horizontal="center" vertical="center" wrapText="1"/>
    </xf>
    <xf numFmtId="10" fontId="14" fillId="14" borderId="7" xfId="3" applyNumberFormat="1" applyFill="1" applyBorder="1" applyAlignment="1">
      <alignment horizontal="center" vertical="center"/>
    </xf>
    <xf numFmtId="10" fontId="14" fillId="14" borderId="8" xfId="3" applyNumberFormat="1" applyFill="1" applyBorder="1" applyAlignment="1">
      <alignment horizontal="center" vertical="center"/>
    </xf>
    <xf numFmtId="10" fontId="14" fillId="14" borderId="9" xfId="3" applyNumberFormat="1" applyFill="1" applyBorder="1" applyAlignment="1">
      <alignment horizontal="center" vertical="center"/>
    </xf>
    <xf numFmtId="0" fontId="14" fillId="14" borderId="24" xfId="3" applyFill="1" applyBorder="1" applyAlignment="1">
      <alignment horizontal="center" vertical="center" wrapText="1"/>
    </xf>
    <xf numFmtId="10" fontId="14" fillId="14" borderId="27" xfId="3" applyNumberFormat="1" applyFill="1" applyBorder="1" applyAlignment="1">
      <alignment horizontal="center" vertical="center"/>
    </xf>
    <xf numFmtId="0" fontId="12" fillId="15" borderId="28" xfId="3" applyFont="1" applyFill="1" applyBorder="1" applyAlignment="1">
      <alignment horizontal="center" vertical="center" wrapText="1"/>
    </xf>
    <xf numFmtId="49" fontId="21" fillId="15" borderId="29" xfId="5" applyNumberFormat="1" applyFont="1" applyFill="1" applyBorder="1" applyAlignment="1">
      <alignment horizontal="left" vertical="center" wrapText="1"/>
    </xf>
    <xf numFmtId="10" fontId="12" fillId="15" borderId="25" xfId="3" applyNumberFormat="1" applyFont="1" applyFill="1" applyBorder="1" applyAlignment="1">
      <alignment horizontal="center" vertical="center"/>
    </xf>
    <xf numFmtId="10" fontId="14" fillId="0" borderId="0" xfId="3" applyNumberFormat="1"/>
    <xf numFmtId="0" fontId="16" fillId="16" borderId="1" xfId="3" applyFont="1" applyFill="1" applyBorder="1"/>
    <xf numFmtId="0" fontId="14" fillId="17" borderId="1" xfId="3" applyFill="1" applyBorder="1"/>
    <xf numFmtId="0" fontId="22" fillId="0" borderId="1" xfId="3" applyFont="1" applyBorder="1"/>
    <xf numFmtId="9" fontId="16" fillId="0" borderId="1" xfId="3" applyNumberFormat="1" applyFont="1" applyBorder="1" applyAlignment="1">
      <alignment horizontal="left"/>
    </xf>
    <xf numFmtId="0" fontId="14" fillId="0" borderId="1" xfId="3" applyBorder="1" applyAlignment="1">
      <alignment horizontal="left"/>
    </xf>
    <xf numFmtId="0" fontId="14" fillId="17" borderId="1" xfId="3" applyFill="1" applyBorder="1" applyAlignment="1">
      <alignment horizontal="left"/>
    </xf>
  </cellXfs>
  <cellStyles count="6">
    <cellStyle name="Нейтральный" xfId="2" builtinId="28"/>
    <cellStyle name="Обычный" xfId="0" builtinId="0"/>
    <cellStyle name="Обычный 2" xfId="3" xr:uid="{88EAB0DA-10F4-4EFA-80FB-A876B050B264}"/>
    <cellStyle name="Обычный_Формы Марат Вар2 2" xfId="5" xr:uid="{3E0A0AA8-6B25-4BED-B113-9020A0A36C9F}"/>
    <cellStyle name="Процентный 2" xfId="4" xr:uid="{86C822CD-C0B6-4443-A6F1-1A729AC2050A}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B489-C128-41B1-80BE-EEA738590B3C}">
  <sheetPr>
    <tabColor rgb="FFC00000"/>
  </sheetPr>
  <dimension ref="A1:H14"/>
  <sheetViews>
    <sheetView workbookViewId="0">
      <selection activeCell="I12" sqref="I12"/>
    </sheetView>
  </sheetViews>
  <sheetFormatPr defaultRowHeight="14.4" x14ac:dyDescent="0.3"/>
  <cols>
    <col min="1" max="1" width="4.44140625" customWidth="1"/>
    <col min="2" max="2" width="28.21875" customWidth="1"/>
    <col min="3" max="3" width="26.88671875" customWidth="1"/>
    <col min="4" max="4" width="19.44140625" customWidth="1"/>
    <col min="5" max="5" width="28.109375" customWidth="1"/>
    <col min="6" max="6" width="16" customWidth="1"/>
    <col min="7" max="7" width="59.44140625" customWidth="1"/>
  </cols>
  <sheetData>
    <row r="1" spans="1:8" ht="28.8" x14ac:dyDescent="0.3">
      <c r="A1" s="2" t="s">
        <v>32</v>
      </c>
      <c r="B1" s="1" t="s">
        <v>28</v>
      </c>
      <c r="C1" s="1" t="s">
        <v>29</v>
      </c>
      <c r="D1" s="1" t="s">
        <v>0</v>
      </c>
      <c r="E1" s="1" t="s">
        <v>30</v>
      </c>
      <c r="F1" s="1" t="s">
        <v>31</v>
      </c>
      <c r="G1" s="1" t="s">
        <v>1</v>
      </c>
    </row>
    <row r="2" spans="1:8" ht="57" x14ac:dyDescent="0.3">
      <c r="A2" s="3">
        <v>1</v>
      </c>
      <c r="B2" s="4" t="s">
        <v>2</v>
      </c>
      <c r="C2" s="4" t="s">
        <v>3</v>
      </c>
      <c r="D2" s="4">
        <v>314041</v>
      </c>
      <c r="E2" s="4" t="s">
        <v>4</v>
      </c>
      <c r="F2" s="8">
        <v>376840</v>
      </c>
      <c r="G2" s="6" t="s">
        <v>34</v>
      </c>
    </row>
    <row r="3" spans="1:8" x14ac:dyDescent="0.3">
      <c r="A3" s="3">
        <v>2</v>
      </c>
      <c r="B3" s="4" t="s">
        <v>5</v>
      </c>
      <c r="C3" s="4" t="s">
        <v>6</v>
      </c>
      <c r="D3" s="5">
        <v>145269.17000000001</v>
      </c>
      <c r="E3" s="4" t="s">
        <v>7</v>
      </c>
      <c r="F3" s="5">
        <v>148393.93</v>
      </c>
      <c r="G3" s="7" t="s">
        <v>8</v>
      </c>
    </row>
    <row r="4" spans="1:8" x14ac:dyDescent="0.3">
      <c r="A4" s="3">
        <v>3</v>
      </c>
      <c r="B4" s="4" t="s">
        <v>9</v>
      </c>
      <c r="C4" s="4" t="s">
        <v>10</v>
      </c>
      <c r="D4" s="5">
        <v>0.46</v>
      </c>
      <c r="E4" s="4"/>
      <c r="F4" s="5">
        <v>47.25</v>
      </c>
      <c r="G4" s="7" t="s">
        <v>8</v>
      </c>
    </row>
    <row r="5" spans="1:8" x14ac:dyDescent="0.3">
      <c r="A5" s="3">
        <v>4</v>
      </c>
      <c r="B5" s="4" t="s">
        <v>11</v>
      </c>
      <c r="C5" s="4" t="s">
        <v>12</v>
      </c>
      <c r="D5" s="5">
        <v>0.44</v>
      </c>
      <c r="E5" s="4"/>
      <c r="F5" s="5">
        <v>40.380000000000003</v>
      </c>
      <c r="G5" s="7" t="s">
        <v>8</v>
      </c>
    </row>
    <row r="6" spans="1:8" x14ac:dyDescent="0.3">
      <c r="A6" s="3">
        <v>5</v>
      </c>
      <c r="B6" s="4" t="s">
        <v>13</v>
      </c>
      <c r="C6" s="4" t="s">
        <v>14</v>
      </c>
      <c r="D6" s="5">
        <v>0.4</v>
      </c>
      <c r="E6" s="4"/>
      <c r="F6" s="5">
        <v>37</v>
      </c>
      <c r="G6" s="7" t="s">
        <v>8</v>
      </c>
    </row>
    <row r="7" spans="1:8" x14ac:dyDescent="0.3">
      <c r="A7" s="3">
        <v>6</v>
      </c>
      <c r="B7" s="9" t="s">
        <v>42</v>
      </c>
      <c r="C7" s="4" t="s">
        <v>43</v>
      </c>
      <c r="D7" s="5">
        <v>0.4</v>
      </c>
      <c r="E7" s="4" t="s">
        <v>41</v>
      </c>
      <c r="F7" s="5">
        <v>26</v>
      </c>
      <c r="G7" s="7" t="s">
        <v>8</v>
      </c>
    </row>
    <row r="8" spans="1:8" x14ac:dyDescent="0.3">
      <c r="A8" s="3">
        <v>7</v>
      </c>
      <c r="B8" s="4" t="s">
        <v>15</v>
      </c>
      <c r="C8" s="4" t="s">
        <v>16</v>
      </c>
      <c r="D8" s="5">
        <v>12640.11</v>
      </c>
      <c r="E8" s="4"/>
      <c r="F8" s="5">
        <v>11888.06</v>
      </c>
      <c r="G8" s="7" t="s">
        <v>8</v>
      </c>
    </row>
    <row r="9" spans="1:8" x14ac:dyDescent="0.3">
      <c r="A9" s="3">
        <v>8</v>
      </c>
      <c r="B9" s="4" t="s">
        <v>17</v>
      </c>
      <c r="C9" s="4" t="s">
        <v>18</v>
      </c>
      <c r="D9" s="5">
        <v>7505.6</v>
      </c>
      <c r="E9" s="4"/>
      <c r="F9" s="5">
        <v>21594.15</v>
      </c>
      <c r="G9" s="7" t="s">
        <v>8</v>
      </c>
    </row>
    <row r="10" spans="1:8" x14ac:dyDescent="0.3">
      <c r="A10" s="3">
        <v>9</v>
      </c>
      <c r="B10" s="10" t="s">
        <v>19</v>
      </c>
      <c r="C10" s="9" t="s">
        <v>45</v>
      </c>
      <c r="D10" s="5"/>
      <c r="E10" s="4"/>
      <c r="F10" s="5"/>
      <c r="G10" s="7" t="s">
        <v>46</v>
      </c>
    </row>
    <row r="11" spans="1:8" ht="36.6" customHeight="1" x14ac:dyDescent="0.3">
      <c r="A11" s="3">
        <v>10</v>
      </c>
      <c r="B11" s="4" t="s">
        <v>35</v>
      </c>
      <c r="C11" s="4" t="s">
        <v>20</v>
      </c>
      <c r="D11" s="5" t="s">
        <v>38</v>
      </c>
      <c r="E11" s="4" t="s">
        <v>36</v>
      </c>
      <c r="F11" s="5">
        <v>63.4</v>
      </c>
      <c r="G11" s="6" t="s">
        <v>47</v>
      </c>
      <c r="H11" s="7" t="s">
        <v>33</v>
      </c>
    </row>
    <row r="12" spans="1:8" ht="34.200000000000003" x14ac:dyDescent="0.3">
      <c r="A12" s="3">
        <v>11</v>
      </c>
      <c r="B12" s="4" t="s">
        <v>21</v>
      </c>
      <c r="C12" s="4" t="s">
        <v>22</v>
      </c>
      <c r="D12" s="5" t="s">
        <v>39</v>
      </c>
      <c r="E12" s="4" t="s">
        <v>37</v>
      </c>
      <c r="F12" s="5">
        <v>57.46</v>
      </c>
      <c r="G12" s="6" t="s">
        <v>48</v>
      </c>
      <c r="H12" s="7" t="s">
        <v>33</v>
      </c>
    </row>
    <row r="13" spans="1:8" x14ac:dyDescent="0.3">
      <c r="A13" s="3">
        <v>12</v>
      </c>
      <c r="B13" s="10" t="s">
        <v>23</v>
      </c>
      <c r="C13" s="4" t="s">
        <v>24</v>
      </c>
      <c r="D13" s="5"/>
      <c r="E13" s="4"/>
      <c r="F13" s="5"/>
      <c r="G13" s="7" t="s">
        <v>25</v>
      </c>
    </row>
    <row r="14" spans="1:8" ht="34.200000000000003" x14ac:dyDescent="0.3">
      <c r="A14" s="3">
        <v>13</v>
      </c>
      <c r="B14" s="4" t="s">
        <v>26</v>
      </c>
      <c r="C14" s="4" t="s">
        <v>27</v>
      </c>
      <c r="D14" s="5" t="s">
        <v>40</v>
      </c>
      <c r="E14" s="4" t="s">
        <v>44</v>
      </c>
      <c r="F14" s="5">
        <v>34669.120000000003</v>
      </c>
      <c r="G14" s="6" t="s">
        <v>49</v>
      </c>
      <c r="H14" s="7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0DAF-41F6-415D-B04E-EF3C5B370BC9}">
  <sheetPr>
    <tabColor rgb="FF00B050"/>
  </sheetPr>
  <dimension ref="A1:H24"/>
  <sheetViews>
    <sheetView topLeftCell="F4" zoomScale="120" zoomScaleNormal="120" workbookViewId="0">
      <selection activeCell="G11" sqref="G11"/>
    </sheetView>
  </sheetViews>
  <sheetFormatPr defaultRowHeight="14.4" x14ac:dyDescent="0.3"/>
  <cols>
    <col min="1" max="1" width="4.44140625" customWidth="1"/>
    <col min="2" max="2" width="29.33203125" customWidth="1"/>
    <col min="3" max="3" width="25" customWidth="1"/>
    <col min="4" max="4" width="16.109375" customWidth="1"/>
    <col min="5" max="5" width="13.6640625" customWidth="1"/>
    <col min="6" max="6" width="16.77734375" customWidth="1"/>
    <col min="7" max="7" width="97.21875" customWidth="1"/>
    <col min="8" max="8" width="84.21875" customWidth="1"/>
    <col min="9" max="9" width="18.77734375" customWidth="1"/>
  </cols>
  <sheetData>
    <row r="1" spans="1:8" s="19" customFormat="1" ht="43.2" x14ac:dyDescent="0.3">
      <c r="A1" s="28" t="s">
        <v>32</v>
      </c>
      <c r="B1" s="11" t="s">
        <v>28</v>
      </c>
      <c r="C1" s="11" t="s">
        <v>29</v>
      </c>
      <c r="D1" s="11" t="s">
        <v>0</v>
      </c>
      <c r="E1" s="11" t="s">
        <v>30</v>
      </c>
      <c r="F1" s="11" t="s">
        <v>31</v>
      </c>
      <c r="G1" s="11" t="s">
        <v>1</v>
      </c>
      <c r="H1" s="29" t="s">
        <v>69</v>
      </c>
    </row>
    <row r="2" spans="1:8" x14ac:dyDescent="0.3">
      <c r="A2" s="35">
        <v>1</v>
      </c>
      <c r="B2" s="47" t="s">
        <v>2</v>
      </c>
      <c r="C2" s="47" t="s">
        <v>3</v>
      </c>
      <c r="D2" s="47">
        <v>314041</v>
      </c>
      <c r="E2" s="47" t="s">
        <v>4</v>
      </c>
      <c r="F2" s="51">
        <v>376840</v>
      </c>
      <c r="G2" s="23" t="s">
        <v>50</v>
      </c>
      <c r="H2" s="50"/>
    </row>
    <row r="3" spans="1:8" ht="79.8" x14ac:dyDescent="0.3">
      <c r="A3" s="37"/>
      <c r="B3" s="49"/>
      <c r="C3" s="49"/>
      <c r="D3" s="49"/>
      <c r="E3" s="49"/>
      <c r="F3" s="52"/>
      <c r="G3" s="12" t="s">
        <v>73</v>
      </c>
      <c r="H3" s="50"/>
    </row>
    <row r="4" spans="1:8" x14ac:dyDescent="0.3">
      <c r="A4" s="13">
        <v>2</v>
      </c>
      <c r="B4" s="14" t="s">
        <v>5</v>
      </c>
      <c r="C4" s="14" t="s">
        <v>6</v>
      </c>
      <c r="D4" s="15">
        <v>145269.17000000001</v>
      </c>
      <c r="E4" s="14" t="s">
        <v>7</v>
      </c>
      <c r="F4" s="15">
        <v>148393.93</v>
      </c>
      <c r="G4" s="17" t="s">
        <v>51</v>
      </c>
      <c r="H4" s="30"/>
    </row>
    <row r="5" spans="1:8" x14ac:dyDescent="0.3">
      <c r="A5" s="13">
        <v>3</v>
      </c>
      <c r="B5" s="14" t="s">
        <v>9</v>
      </c>
      <c r="C5" s="14" t="s">
        <v>10</v>
      </c>
      <c r="D5" s="15">
        <v>0.46</v>
      </c>
      <c r="E5" s="14"/>
      <c r="F5" s="15">
        <v>47.25</v>
      </c>
      <c r="G5" s="17" t="s">
        <v>52</v>
      </c>
      <c r="H5" s="30"/>
    </row>
    <row r="6" spans="1:8" x14ac:dyDescent="0.3">
      <c r="A6" s="13">
        <v>4</v>
      </c>
      <c r="B6" s="14" t="s">
        <v>11</v>
      </c>
      <c r="C6" s="14" t="s">
        <v>12</v>
      </c>
      <c r="D6" s="15">
        <v>0.44</v>
      </c>
      <c r="E6" s="14"/>
      <c r="F6" s="15">
        <v>40.380000000000003</v>
      </c>
      <c r="G6" s="17" t="s">
        <v>53</v>
      </c>
      <c r="H6" s="30"/>
    </row>
    <row r="7" spans="1:8" x14ac:dyDescent="0.3">
      <c r="A7" s="13">
        <v>5</v>
      </c>
      <c r="B7" s="14" t="s">
        <v>13</v>
      </c>
      <c r="C7" s="14" t="s">
        <v>14</v>
      </c>
      <c r="D7" s="15">
        <v>0.4</v>
      </c>
      <c r="E7" s="14"/>
      <c r="F7" s="15">
        <v>37</v>
      </c>
      <c r="G7" s="17" t="s">
        <v>54</v>
      </c>
      <c r="H7" s="30"/>
    </row>
    <row r="8" spans="1:8" x14ac:dyDescent="0.3">
      <c r="A8" s="13">
        <v>6</v>
      </c>
      <c r="B8" s="24" t="s">
        <v>42</v>
      </c>
      <c r="C8" s="14" t="s">
        <v>43</v>
      </c>
      <c r="D8" s="15">
        <v>0.4</v>
      </c>
      <c r="E8" s="14" t="s">
        <v>41</v>
      </c>
      <c r="F8" s="15">
        <v>26</v>
      </c>
      <c r="G8" s="17" t="s">
        <v>55</v>
      </c>
      <c r="H8" s="30"/>
    </row>
    <row r="9" spans="1:8" x14ac:dyDescent="0.3">
      <c r="A9" s="35">
        <v>7</v>
      </c>
      <c r="B9" s="47" t="s">
        <v>15</v>
      </c>
      <c r="C9" s="47" t="s">
        <v>16</v>
      </c>
      <c r="D9" s="44">
        <v>12640.11</v>
      </c>
      <c r="E9" s="47"/>
      <c r="F9" s="44">
        <v>11888.06</v>
      </c>
      <c r="G9" s="25" t="s">
        <v>56</v>
      </c>
      <c r="H9" s="25"/>
    </row>
    <row r="10" spans="1:8" x14ac:dyDescent="0.3">
      <c r="A10" s="37"/>
      <c r="B10" s="49"/>
      <c r="C10" s="49"/>
      <c r="D10" s="46"/>
      <c r="E10" s="49"/>
      <c r="F10" s="46"/>
      <c r="G10" s="26" t="s">
        <v>57</v>
      </c>
      <c r="H10" s="32"/>
    </row>
    <row r="11" spans="1:8" ht="22.8" x14ac:dyDescent="0.3">
      <c r="A11" s="35">
        <v>8</v>
      </c>
      <c r="B11" s="47" t="s">
        <v>17</v>
      </c>
      <c r="C11" s="47" t="s">
        <v>18</v>
      </c>
      <c r="D11" s="44">
        <v>7505.6</v>
      </c>
      <c r="E11" s="47"/>
      <c r="F11" s="44">
        <v>21594.15</v>
      </c>
      <c r="G11" s="18" t="s">
        <v>58</v>
      </c>
      <c r="H11" s="34" t="s">
        <v>72</v>
      </c>
    </row>
    <row r="12" spans="1:8" x14ac:dyDescent="0.3">
      <c r="A12" s="36"/>
      <c r="B12" s="48"/>
      <c r="C12" s="48"/>
      <c r="D12" s="45"/>
      <c r="E12" s="48"/>
      <c r="F12" s="45"/>
      <c r="G12" s="27" t="s">
        <v>59</v>
      </c>
      <c r="H12" s="34"/>
    </row>
    <row r="13" spans="1:8" ht="46.8" customHeight="1" x14ac:dyDescent="0.3">
      <c r="A13" s="36"/>
      <c r="B13" s="48"/>
      <c r="C13" s="48"/>
      <c r="D13" s="45"/>
      <c r="E13" s="48"/>
      <c r="F13" s="45"/>
      <c r="G13" s="27" t="s">
        <v>60</v>
      </c>
      <c r="H13" s="34"/>
    </row>
    <row r="14" spans="1:8" x14ac:dyDescent="0.3">
      <c r="A14" s="35">
        <v>9</v>
      </c>
      <c r="B14" s="38" t="s">
        <v>19</v>
      </c>
      <c r="C14" s="41" t="s">
        <v>45</v>
      </c>
      <c r="D14" s="44"/>
      <c r="E14" s="47"/>
      <c r="F14" s="44"/>
      <c r="G14" s="25" t="s">
        <v>61</v>
      </c>
      <c r="H14" s="34"/>
    </row>
    <row r="15" spans="1:8" x14ac:dyDescent="0.3">
      <c r="A15" s="36"/>
      <c r="B15" s="39"/>
      <c r="C15" s="42"/>
      <c r="D15" s="45"/>
      <c r="E15" s="48"/>
      <c r="F15" s="45"/>
      <c r="G15" s="27" t="s">
        <v>62</v>
      </c>
      <c r="H15" s="34"/>
    </row>
    <row r="16" spans="1:8" x14ac:dyDescent="0.3">
      <c r="A16" s="36"/>
      <c r="B16" s="39"/>
      <c r="C16" s="42"/>
      <c r="D16" s="45"/>
      <c r="E16" s="48"/>
      <c r="F16" s="45"/>
      <c r="G16" s="27" t="s">
        <v>63</v>
      </c>
      <c r="H16" s="34"/>
    </row>
    <row r="17" spans="1:8" x14ac:dyDescent="0.3">
      <c r="A17" s="36"/>
      <c r="B17" s="39"/>
      <c r="C17" s="42"/>
      <c r="D17" s="45"/>
      <c r="E17" s="48"/>
      <c r="F17" s="45"/>
      <c r="G17" s="27" t="s">
        <v>64</v>
      </c>
      <c r="H17" s="34"/>
    </row>
    <row r="18" spans="1:8" x14ac:dyDescent="0.3">
      <c r="A18" s="36"/>
      <c r="B18" s="39"/>
      <c r="C18" s="42"/>
      <c r="D18" s="45"/>
      <c r="E18" s="48"/>
      <c r="F18" s="45"/>
      <c r="G18" s="27" t="s">
        <v>65</v>
      </c>
      <c r="H18" s="34"/>
    </row>
    <row r="19" spans="1:8" x14ac:dyDescent="0.3">
      <c r="A19" s="37"/>
      <c r="B19" s="40"/>
      <c r="C19" s="43"/>
      <c r="D19" s="46"/>
      <c r="E19" s="49"/>
      <c r="F19" s="46"/>
      <c r="G19" s="26" t="s">
        <v>71</v>
      </c>
      <c r="H19" s="34"/>
    </row>
    <row r="20" spans="1:8" ht="22.8" x14ac:dyDescent="0.3">
      <c r="A20" s="13">
        <v>10</v>
      </c>
      <c r="B20" s="14" t="s">
        <v>35</v>
      </c>
      <c r="C20" s="14" t="s">
        <v>20</v>
      </c>
      <c r="D20" s="15" t="s">
        <v>38</v>
      </c>
      <c r="E20" s="14" t="s">
        <v>36</v>
      </c>
      <c r="F20" s="15">
        <v>63.4</v>
      </c>
      <c r="G20" s="20" t="s">
        <v>66</v>
      </c>
      <c r="H20" s="21"/>
    </row>
    <row r="21" spans="1:8" ht="22.8" x14ac:dyDescent="0.3">
      <c r="A21" s="13">
        <v>11</v>
      </c>
      <c r="B21" s="14" t="s">
        <v>21</v>
      </c>
      <c r="C21" s="14" t="s">
        <v>22</v>
      </c>
      <c r="D21" s="15" t="s">
        <v>39</v>
      </c>
      <c r="E21" s="14" t="s">
        <v>37</v>
      </c>
      <c r="F21" s="15">
        <v>57.46</v>
      </c>
      <c r="G21" s="20" t="s">
        <v>67</v>
      </c>
      <c r="H21" s="21"/>
    </row>
    <row r="22" spans="1:8" ht="22.8" x14ac:dyDescent="0.3">
      <c r="A22" s="13">
        <v>12</v>
      </c>
      <c r="B22" s="22" t="s">
        <v>23</v>
      </c>
      <c r="C22" s="14" t="s">
        <v>24</v>
      </c>
      <c r="D22" s="15"/>
      <c r="E22" s="14"/>
      <c r="F22" s="15"/>
      <c r="G22" s="16" t="s">
        <v>70</v>
      </c>
      <c r="H22" s="31"/>
    </row>
    <row r="23" spans="1:8" ht="22.8" x14ac:dyDescent="0.3">
      <c r="A23" s="13">
        <v>13</v>
      </c>
      <c r="B23" s="14" t="s">
        <v>26</v>
      </c>
      <c r="C23" s="14" t="s">
        <v>27</v>
      </c>
      <c r="D23" s="15" t="s">
        <v>40</v>
      </c>
      <c r="E23" s="14" t="s">
        <v>44</v>
      </c>
      <c r="F23" s="15">
        <v>34669.120000000003</v>
      </c>
      <c r="G23" s="20" t="s">
        <v>68</v>
      </c>
      <c r="H23" s="21"/>
    </row>
    <row r="24" spans="1:8" x14ac:dyDescent="0.3">
      <c r="B24" s="33"/>
    </row>
  </sheetData>
  <mergeCells count="27">
    <mergeCell ref="H2:H3"/>
    <mergeCell ref="A9:A10"/>
    <mergeCell ref="B9:B10"/>
    <mergeCell ref="C9:C10"/>
    <mergeCell ref="D9:D10"/>
    <mergeCell ref="E9:E10"/>
    <mergeCell ref="F9:F10"/>
    <mergeCell ref="A2:A3"/>
    <mergeCell ref="B2:B3"/>
    <mergeCell ref="C2:C3"/>
    <mergeCell ref="D2:D3"/>
    <mergeCell ref="E2:E3"/>
    <mergeCell ref="F2:F3"/>
    <mergeCell ref="H11:H13"/>
    <mergeCell ref="A14:A19"/>
    <mergeCell ref="B14:B19"/>
    <mergeCell ref="C14:C19"/>
    <mergeCell ref="D14:D19"/>
    <mergeCell ref="E14:E19"/>
    <mergeCell ref="F14:F19"/>
    <mergeCell ref="H14:H19"/>
    <mergeCell ref="A11:A13"/>
    <mergeCell ref="B11:B13"/>
    <mergeCell ref="C11:C13"/>
    <mergeCell ref="D11:D13"/>
    <mergeCell ref="E11:E13"/>
    <mergeCell ref="F11:F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3F74-687A-4187-9730-4C023C1AD368}">
  <sheetPr>
    <tabColor rgb="FF00B0F0"/>
  </sheetPr>
  <dimension ref="A2:I37"/>
  <sheetViews>
    <sheetView tabSelected="1" topLeftCell="A19" workbookViewId="0">
      <selection activeCell="A2" sqref="A2"/>
    </sheetView>
  </sheetViews>
  <sheetFormatPr defaultRowHeight="14.4" x14ac:dyDescent="0.3"/>
  <cols>
    <col min="1" max="1" width="23.88671875" style="53" customWidth="1"/>
    <col min="2" max="2" width="38" style="53" customWidth="1"/>
    <col min="3" max="3" width="24.33203125" style="53" customWidth="1"/>
    <col min="4" max="4" width="24" style="53" customWidth="1"/>
    <col min="5" max="5" width="40.44140625" style="53" customWidth="1"/>
    <col min="6" max="6" width="36.33203125" style="53" customWidth="1"/>
    <col min="7" max="7" width="33.88671875" style="53" customWidth="1"/>
    <col min="8" max="8" width="49.6640625" style="53" customWidth="1"/>
    <col min="9" max="9" width="12.77734375" style="53" customWidth="1"/>
    <col min="10" max="16384" width="8.88671875" style="53"/>
  </cols>
  <sheetData>
    <row r="2" spans="1:8" ht="48" customHeight="1" x14ac:dyDescent="0.3">
      <c r="C2" s="54" t="s">
        <v>74</v>
      </c>
      <c r="D2" s="55"/>
      <c r="E2" s="56" t="s">
        <v>75</v>
      </c>
      <c r="F2" s="56" t="s">
        <v>76</v>
      </c>
      <c r="G2" s="57" t="s">
        <v>77</v>
      </c>
      <c r="H2" s="58" t="s">
        <v>78</v>
      </c>
    </row>
    <row r="3" spans="1:8" x14ac:dyDescent="0.3">
      <c r="A3" s="53" t="s">
        <v>79</v>
      </c>
      <c r="B3" s="53" t="s">
        <v>80</v>
      </c>
      <c r="C3" s="59">
        <v>6.3299999999999995E-2</v>
      </c>
      <c r="D3" s="53" t="s">
        <v>79</v>
      </c>
      <c r="E3" s="60">
        <v>0.03</v>
      </c>
      <c r="F3" s="60">
        <v>0.05</v>
      </c>
      <c r="G3" s="61">
        <f>C3/2</f>
        <v>3.1649999999999998E-2</v>
      </c>
      <c r="H3" s="59">
        <v>6.3299999999999995E-2</v>
      </c>
    </row>
    <row r="4" spans="1:8" x14ac:dyDescent="0.3">
      <c r="A4" s="53" t="s">
        <v>79</v>
      </c>
      <c r="B4" s="53" t="s">
        <v>81</v>
      </c>
      <c r="C4" s="59">
        <v>7.0000000000000007E-2</v>
      </c>
      <c r="D4" s="53" t="s">
        <v>79</v>
      </c>
      <c r="E4" s="60">
        <v>0.03</v>
      </c>
      <c r="F4" s="60">
        <v>0.05</v>
      </c>
      <c r="G4" s="61">
        <f t="shared" ref="G4:G17" si="0">C4/2</f>
        <v>3.5000000000000003E-2</v>
      </c>
      <c r="H4" s="59">
        <v>7.0000000000000007E-2</v>
      </c>
    </row>
    <row r="5" spans="1:8" x14ac:dyDescent="0.3">
      <c r="A5" s="53" t="s">
        <v>79</v>
      </c>
      <c r="B5" s="53" t="s">
        <v>82</v>
      </c>
      <c r="C5" s="59">
        <v>9.7599999999999992E-2</v>
      </c>
      <c r="D5" s="53" t="s">
        <v>79</v>
      </c>
      <c r="E5" s="60">
        <v>0.03</v>
      </c>
      <c r="F5" s="60">
        <v>0.05</v>
      </c>
      <c r="G5" s="61">
        <f t="shared" si="0"/>
        <v>4.8799999999999996E-2</v>
      </c>
      <c r="H5" s="59">
        <v>9.7599999999999992E-2</v>
      </c>
    </row>
    <row r="6" spans="1:8" x14ac:dyDescent="0.3">
      <c r="A6" s="53" t="s">
        <v>79</v>
      </c>
      <c r="B6" s="53" t="s">
        <v>83</v>
      </c>
      <c r="C6" s="59">
        <v>7.3899999999999993E-2</v>
      </c>
      <c r="D6" s="53" t="s">
        <v>79</v>
      </c>
      <c r="E6" s="60">
        <v>0.03</v>
      </c>
      <c r="F6" s="60">
        <v>0.05</v>
      </c>
      <c r="G6" s="61">
        <f t="shared" si="0"/>
        <v>3.6949999999999997E-2</v>
      </c>
      <c r="H6" s="59">
        <v>7.3899999999999993E-2</v>
      </c>
    </row>
    <row r="7" spans="1:8" x14ac:dyDescent="0.3">
      <c r="A7" s="53" t="s">
        <v>79</v>
      </c>
      <c r="B7" s="53" t="s">
        <v>84</v>
      </c>
      <c r="C7" s="59">
        <v>7.8899999999999998E-2</v>
      </c>
      <c r="D7" s="53" t="s">
        <v>79</v>
      </c>
      <c r="E7" s="60">
        <v>0.03</v>
      </c>
      <c r="F7" s="60">
        <v>0.05</v>
      </c>
      <c r="G7" s="61">
        <f t="shared" si="0"/>
        <v>3.9449999999999999E-2</v>
      </c>
      <c r="H7" s="59">
        <v>7.8899999999999998E-2</v>
      </c>
    </row>
    <row r="8" spans="1:8" x14ac:dyDescent="0.3">
      <c r="A8" s="53" t="s">
        <v>79</v>
      </c>
      <c r="B8" s="53" t="s">
        <v>85</v>
      </c>
      <c r="C8" s="59">
        <v>7.3499999999999996E-2</v>
      </c>
      <c r="D8" s="53" t="s">
        <v>79</v>
      </c>
      <c r="E8" s="60">
        <v>0.03</v>
      </c>
      <c r="F8" s="60">
        <v>0.05</v>
      </c>
      <c r="G8" s="61">
        <f t="shared" si="0"/>
        <v>3.6749999999999998E-2</v>
      </c>
      <c r="H8" s="59">
        <v>7.3499999999999996E-2</v>
      </c>
    </row>
    <row r="9" spans="1:8" x14ac:dyDescent="0.3">
      <c r="A9" s="53" t="s">
        <v>79</v>
      </c>
      <c r="B9" s="53" t="s">
        <v>86</v>
      </c>
      <c r="C9" s="59">
        <v>0.1099</v>
      </c>
      <c r="D9" s="53" t="s">
        <v>79</v>
      </c>
      <c r="E9" s="60">
        <v>0.03</v>
      </c>
      <c r="F9" s="60">
        <v>0.05</v>
      </c>
      <c r="G9" s="61">
        <f t="shared" si="0"/>
        <v>5.4949999999999999E-2</v>
      </c>
      <c r="H9" s="59">
        <v>0.1099</v>
      </c>
    </row>
    <row r="10" spans="1:8" x14ac:dyDescent="0.3">
      <c r="A10" s="53" t="s">
        <v>79</v>
      </c>
      <c r="B10" s="53" t="s">
        <v>87</v>
      </c>
      <c r="C10" s="59">
        <v>8.900000000000001E-2</v>
      </c>
      <c r="D10" s="53" t="s">
        <v>79</v>
      </c>
      <c r="E10" s="60">
        <v>0.03</v>
      </c>
      <c r="F10" s="60">
        <v>0.05</v>
      </c>
      <c r="G10" s="61">
        <f t="shared" si="0"/>
        <v>4.4500000000000005E-2</v>
      </c>
      <c r="H10" s="59">
        <v>8.900000000000001E-2</v>
      </c>
    </row>
    <row r="11" spans="1:8" x14ac:dyDescent="0.3">
      <c r="A11" s="53" t="s">
        <v>79</v>
      </c>
      <c r="B11" s="53" t="s">
        <v>88</v>
      </c>
      <c r="C11" s="59">
        <v>4.5700000000000005E-2</v>
      </c>
      <c r="D11" s="53" t="s">
        <v>79</v>
      </c>
      <c r="E11" s="60">
        <v>0.03</v>
      </c>
      <c r="F11" s="60">
        <v>0.05</v>
      </c>
      <c r="G11" s="61">
        <f t="shared" si="0"/>
        <v>2.2850000000000002E-2</v>
      </c>
      <c r="H11" s="59">
        <v>4.5700000000000005E-2</v>
      </c>
    </row>
    <row r="12" spans="1:8" x14ac:dyDescent="0.3">
      <c r="A12" s="53" t="s">
        <v>79</v>
      </c>
      <c r="B12" s="53" t="s">
        <v>89</v>
      </c>
      <c r="C12" s="59">
        <v>4.2000000000000003E-2</v>
      </c>
      <c r="D12" s="53" t="s">
        <v>79</v>
      </c>
      <c r="E12" s="60">
        <v>0.03</v>
      </c>
      <c r="F12" s="60">
        <v>0.05</v>
      </c>
      <c r="G12" s="61">
        <f t="shared" si="0"/>
        <v>2.1000000000000001E-2</v>
      </c>
      <c r="H12" s="59">
        <v>4.2000000000000003E-2</v>
      </c>
    </row>
    <row r="13" spans="1:8" x14ac:dyDescent="0.3">
      <c r="A13" s="53" t="s">
        <v>79</v>
      </c>
      <c r="B13" s="53" t="s">
        <v>90</v>
      </c>
      <c r="C13" s="59">
        <v>7.85E-2</v>
      </c>
      <c r="D13" s="53" t="s">
        <v>79</v>
      </c>
      <c r="E13" s="60">
        <v>0.03</v>
      </c>
      <c r="F13" s="60">
        <v>0.05</v>
      </c>
      <c r="G13" s="61">
        <f t="shared" si="0"/>
        <v>3.925E-2</v>
      </c>
      <c r="H13" s="59">
        <v>7.85E-2</v>
      </c>
    </row>
    <row r="14" spans="1:8" x14ac:dyDescent="0.3">
      <c r="A14" s="53" t="s">
        <v>79</v>
      </c>
      <c r="B14" s="53" t="s">
        <v>91</v>
      </c>
      <c r="C14" s="59">
        <v>8.3100000000000007E-2</v>
      </c>
      <c r="D14" s="53" t="s">
        <v>79</v>
      </c>
      <c r="E14" s="60">
        <v>0.03</v>
      </c>
      <c r="F14" s="60">
        <v>0.05</v>
      </c>
      <c r="G14" s="61">
        <f t="shared" si="0"/>
        <v>4.1550000000000004E-2</v>
      </c>
      <c r="H14" s="59">
        <v>8.3100000000000007E-2</v>
      </c>
    </row>
    <row r="15" spans="1:8" x14ac:dyDescent="0.3">
      <c r="A15" s="53" t="s">
        <v>79</v>
      </c>
      <c r="B15" s="53" t="s">
        <v>92</v>
      </c>
      <c r="C15" s="59">
        <v>3.3799999999999997E-2</v>
      </c>
      <c r="D15" s="53" t="s">
        <v>79</v>
      </c>
      <c r="E15" s="60">
        <v>0.03</v>
      </c>
      <c r="F15" s="60">
        <v>0.05</v>
      </c>
      <c r="G15" s="61">
        <f t="shared" si="0"/>
        <v>1.6899999999999998E-2</v>
      </c>
      <c r="H15" s="59">
        <v>3.3799999999999997E-2</v>
      </c>
    </row>
    <row r="16" spans="1:8" x14ac:dyDescent="0.3">
      <c r="A16" s="53" t="s">
        <v>79</v>
      </c>
      <c r="B16" s="53" t="s">
        <v>93</v>
      </c>
      <c r="C16" s="59">
        <v>7.2499999999999995E-2</v>
      </c>
      <c r="D16" s="53" t="s">
        <v>79</v>
      </c>
      <c r="E16" s="60">
        <v>0.03</v>
      </c>
      <c r="F16" s="60">
        <v>0.05</v>
      </c>
      <c r="G16" s="61">
        <f t="shared" si="0"/>
        <v>3.6249999999999998E-2</v>
      </c>
      <c r="H16" s="59">
        <v>7.2499999999999995E-2</v>
      </c>
    </row>
    <row r="17" spans="1:9" x14ac:dyDescent="0.3">
      <c r="A17" s="53" t="s">
        <v>79</v>
      </c>
      <c r="B17" s="53" t="s">
        <v>94</v>
      </c>
      <c r="C17" s="59">
        <v>0.12609999999999999</v>
      </c>
      <c r="D17" s="53" t="s">
        <v>79</v>
      </c>
      <c r="E17" s="60">
        <v>0.04</v>
      </c>
      <c r="F17" s="60">
        <v>0.06</v>
      </c>
      <c r="G17" s="61">
        <f t="shared" si="0"/>
        <v>6.3049999999999995E-2</v>
      </c>
      <c r="H17" s="59">
        <v>0.12609999999999999</v>
      </c>
    </row>
    <row r="18" spans="1:9" x14ac:dyDescent="0.3">
      <c r="A18" s="53" t="s">
        <v>95</v>
      </c>
      <c r="B18" s="53" t="s">
        <v>95</v>
      </c>
      <c r="C18" s="59">
        <v>0.05</v>
      </c>
      <c r="D18" s="53" t="s">
        <v>95</v>
      </c>
      <c r="E18" s="60">
        <v>0</v>
      </c>
      <c r="F18" s="60">
        <v>0</v>
      </c>
      <c r="G18" s="61">
        <v>0</v>
      </c>
      <c r="H18" s="59">
        <v>0.05</v>
      </c>
    </row>
    <row r="22" spans="1:9" x14ac:dyDescent="0.3">
      <c r="A22" s="62" t="s">
        <v>96</v>
      </c>
      <c r="B22" s="62" t="s">
        <v>97</v>
      </c>
    </row>
    <row r="23" spans="1:9" x14ac:dyDescent="0.3">
      <c r="A23" s="62" t="s">
        <v>96</v>
      </c>
      <c r="B23" s="62" t="s">
        <v>98</v>
      </c>
    </row>
    <row r="24" spans="1:9" x14ac:dyDescent="0.3">
      <c r="A24" s="62" t="s">
        <v>96</v>
      </c>
      <c r="B24" s="62" t="s">
        <v>99</v>
      </c>
    </row>
    <row r="26" spans="1:9" x14ac:dyDescent="0.3">
      <c r="A26" s="63"/>
      <c r="B26" s="64" t="s">
        <v>100</v>
      </c>
    </row>
    <row r="27" spans="1:9" x14ac:dyDescent="0.3">
      <c r="A27" s="63"/>
      <c r="B27" s="63">
        <v>57</v>
      </c>
    </row>
    <row r="28" spans="1:9" x14ac:dyDescent="0.3">
      <c r="A28" s="63"/>
      <c r="B28" s="63">
        <v>60</v>
      </c>
    </row>
    <row r="31" spans="1:9" x14ac:dyDescent="0.3">
      <c r="B31" s="65" t="s">
        <v>101</v>
      </c>
    </row>
    <row r="32" spans="1:9" x14ac:dyDescent="0.3">
      <c r="B32" s="66" t="s">
        <v>102</v>
      </c>
      <c r="C32" s="66" t="s">
        <v>103</v>
      </c>
      <c r="D32" s="66" t="s">
        <v>104</v>
      </c>
      <c r="E32" s="66" t="s">
        <v>105</v>
      </c>
      <c r="F32" s="66" t="s">
        <v>106</v>
      </c>
      <c r="G32" s="66" t="s">
        <v>100</v>
      </c>
      <c r="H32" s="66" t="s">
        <v>107</v>
      </c>
      <c r="I32" s="66" t="s">
        <v>108</v>
      </c>
    </row>
    <row r="33" spans="2:9" x14ac:dyDescent="0.3">
      <c r="B33" s="55" t="s">
        <v>109</v>
      </c>
      <c r="C33" s="55">
        <v>2025</v>
      </c>
      <c r="D33" s="55"/>
      <c r="E33" s="55" t="s">
        <v>110</v>
      </c>
      <c r="F33" s="55"/>
      <c r="G33" s="55"/>
      <c r="H33" s="55"/>
      <c r="I33" s="67">
        <v>0.12609999999999999</v>
      </c>
    </row>
    <row r="34" spans="2:9" x14ac:dyDescent="0.3">
      <c r="B34" s="55" t="s">
        <v>109</v>
      </c>
      <c r="C34" s="55">
        <v>2025</v>
      </c>
      <c r="D34" s="55"/>
      <c r="E34" s="55" t="s">
        <v>111</v>
      </c>
      <c r="F34" s="55" t="s">
        <v>112</v>
      </c>
      <c r="G34" s="55">
        <v>57</v>
      </c>
      <c r="H34" s="55"/>
      <c r="I34" s="68">
        <v>4</v>
      </c>
    </row>
    <row r="35" spans="2:9" x14ac:dyDescent="0.3">
      <c r="B35" s="55" t="s">
        <v>109</v>
      </c>
      <c r="C35" s="55">
        <v>2025</v>
      </c>
      <c r="D35" s="55"/>
      <c r="E35" s="55" t="s">
        <v>113</v>
      </c>
      <c r="F35" s="55" t="s">
        <v>112</v>
      </c>
      <c r="G35" s="55">
        <v>60</v>
      </c>
      <c r="H35" s="55"/>
      <c r="I35" s="69">
        <v>0.06</v>
      </c>
    </row>
    <row r="36" spans="2:9" x14ac:dyDescent="0.3">
      <c r="B36" s="55" t="s">
        <v>109</v>
      </c>
      <c r="C36" s="55">
        <v>2025</v>
      </c>
      <c r="D36" s="55"/>
      <c r="E36" s="55" t="s">
        <v>114</v>
      </c>
      <c r="F36" s="55" t="s">
        <v>115</v>
      </c>
      <c r="G36" s="55">
        <v>57</v>
      </c>
      <c r="H36" s="55"/>
      <c r="I36" s="70">
        <v>6.3100000000000003E-2</v>
      </c>
    </row>
    <row r="37" spans="2:9" x14ac:dyDescent="0.3">
      <c r="B37" s="55" t="s">
        <v>109</v>
      </c>
      <c r="C37" s="55">
        <v>2025</v>
      </c>
      <c r="D37" s="55" t="s">
        <v>116</v>
      </c>
      <c r="E37" s="55" t="s">
        <v>117</v>
      </c>
      <c r="F37" s="55" t="s">
        <v>118</v>
      </c>
      <c r="G37" s="55"/>
      <c r="H37" s="55">
        <v>300000</v>
      </c>
      <c r="I37" s="67">
        <v>0.12609999999999999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1AF0-6E4D-4159-88A1-CDBBEACA5F20}">
  <sheetPr codeName="Лист2"/>
  <dimension ref="A1:L13"/>
  <sheetViews>
    <sheetView workbookViewId="0">
      <selection activeCell="P9" sqref="P9"/>
    </sheetView>
  </sheetViews>
  <sheetFormatPr defaultRowHeight="14.4" x14ac:dyDescent="0.3"/>
  <cols>
    <col min="1" max="1" width="34.6640625" style="53" customWidth="1"/>
    <col min="2" max="2" width="30.109375" style="53" customWidth="1"/>
    <col min="3" max="3" width="18.44140625" style="53" customWidth="1"/>
    <col min="4" max="4" width="10.33203125" style="53" customWidth="1"/>
    <col min="5" max="11" width="8.88671875" style="53"/>
    <col min="12" max="12" width="10.33203125" style="53" customWidth="1"/>
    <col min="13" max="16384" width="8.88671875" style="53"/>
  </cols>
  <sheetData>
    <row r="1" spans="1:12" ht="15" thickBot="1" x14ac:dyDescent="0.35">
      <c r="A1" s="71" t="s">
        <v>119</v>
      </c>
      <c r="B1" s="72"/>
      <c r="C1" s="72"/>
      <c r="D1" s="72"/>
      <c r="E1" s="72"/>
      <c r="F1" s="72"/>
      <c r="G1" s="72"/>
      <c r="H1" s="72"/>
    </row>
    <row r="2" spans="1:12" ht="41.25" customHeight="1" thickBot="1" x14ac:dyDescent="0.35">
      <c r="A2" s="73" t="s">
        <v>120</v>
      </c>
      <c r="B2" s="74"/>
      <c r="C2" s="75" t="s">
        <v>121</v>
      </c>
      <c r="D2" s="76" t="s">
        <v>122</v>
      </c>
      <c r="E2" s="76" t="s">
        <v>123</v>
      </c>
      <c r="F2" s="76" t="s">
        <v>124</v>
      </c>
      <c r="G2" s="76" t="s">
        <v>125</v>
      </c>
      <c r="H2" s="76" t="s">
        <v>126</v>
      </c>
      <c r="I2" s="76" t="s">
        <v>127</v>
      </c>
      <c r="J2" s="76" t="s">
        <v>128</v>
      </c>
      <c r="K2" s="76" t="s">
        <v>129</v>
      </c>
      <c r="L2" s="77" t="s">
        <v>130</v>
      </c>
    </row>
    <row r="3" spans="1:12" ht="28.8" x14ac:dyDescent="0.3">
      <c r="A3" s="78" t="s">
        <v>131</v>
      </c>
      <c r="B3" s="79" t="s">
        <v>132</v>
      </c>
      <c r="C3" s="80">
        <v>5.2301934934677136E-2</v>
      </c>
      <c r="D3" s="81">
        <v>5.0550618815936088E-2</v>
      </c>
      <c r="E3" s="82">
        <v>2.6176913694567976E-2</v>
      </c>
      <c r="F3" s="82">
        <v>6.3641671949927314E-2</v>
      </c>
      <c r="G3" s="82">
        <v>2.4599629783888181E-2</v>
      </c>
      <c r="H3" s="82">
        <v>4.9405904686476577E-2</v>
      </c>
      <c r="I3" s="82">
        <v>5.3865155515060492E-2</v>
      </c>
      <c r="J3" s="82">
        <v>6.9895542523569318E-2</v>
      </c>
      <c r="K3" s="82">
        <v>0.1158941265601113</v>
      </c>
      <c r="L3" s="83">
        <v>4.2256510931614692E-2</v>
      </c>
    </row>
    <row r="4" spans="1:12" ht="16.2" customHeight="1" x14ac:dyDescent="0.3">
      <c r="A4" s="84"/>
      <c r="B4" s="85" t="s">
        <v>133</v>
      </c>
      <c r="C4" s="86">
        <v>2.5619663368367747E-2</v>
      </c>
      <c r="D4" s="87">
        <v>5.6968740290677293E-3</v>
      </c>
      <c r="E4" s="88">
        <v>7.1331719627156414E-3</v>
      </c>
      <c r="F4" s="88">
        <v>2.9972645457554747E-2</v>
      </c>
      <c r="G4" s="88">
        <v>4.4572246064619892E-3</v>
      </c>
      <c r="H4" s="88">
        <v>1.4971791018282037E-2</v>
      </c>
      <c r="I4" s="88">
        <v>2.926149672107756E-2</v>
      </c>
      <c r="J4" s="88">
        <v>4.7713294442785603E-2</v>
      </c>
      <c r="K4" s="88">
        <v>7.2887024041682735E-2</v>
      </c>
      <c r="L4" s="89">
        <v>1.8183872127166812E-2</v>
      </c>
    </row>
    <row r="5" spans="1:12" ht="24.75" customHeight="1" thickBot="1" x14ac:dyDescent="0.35">
      <c r="A5" s="84"/>
      <c r="B5" s="90" t="s">
        <v>134</v>
      </c>
      <c r="C5" s="91">
        <v>7.0928064201404101E-2</v>
      </c>
      <c r="D5" s="92">
        <v>4.5609299682943708E-2</v>
      </c>
      <c r="E5" s="92">
        <v>7.1617489237403603E-2</v>
      </c>
      <c r="F5" s="92">
        <v>7.6025793921164639E-2</v>
      </c>
      <c r="G5" s="92">
        <v>7.4582412997110922E-2</v>
      </c>
      <c r="H5" s="92">
        <v>4.9538310015999398E-2</v>
      </c>
      <c r="I5" s="92">
        <v>7.567734086782911E-2</v>
      </c>
      <c r="J5" s="92">
        <v>5.7198308705582949E-2</v>
      </c>
      <c r="K5" s="92">
        <v>8.1687545723734517E-2</v>
      </c>
      <c r="L5" s="93">
        <v>6.8653138636336167E-2</v>
      </c>
    </row>
    <row r="6" spans="1:12" ht="30.75" hidden="1" customHeight="1" thickBot="1" x14ac:dyDescent="0.35">
      <c r="A6" s="94"/>
      <c r="B6" s="95" t="s">
        <v>135</v>
      </c>
      <c r="C6" s="96">
        <v>0.13956642324963353</v>
      </c>
      <c r="D6" s="96">
        <v>0.13429082828547134</v>
      </c>
      <c r="E6" s="96">
        <v>0.1106215534095861</v>
      </c>
      <c r="F6" s="96">
        <v>0.14307844587751331</v>
      </c>
      <c r="G6" s="96">
        <v>0.1106215534095861</v>
      </c>
      <c r="H6" s="96">
        <v>0.10218361779308151</v>
      </c>
      <c r="I6" s="96">
        <v>0.14621664643024698</v>
      </c>
      <c r="J6" s="96">
        <v>0.19554614875600759</v>
      </c>
      <c r="K6" s="96">
        <v>0.19554614875600759</v>
      </c>
      <c r="L6" s="97">
        <v>0.14621664643024698</v>
      </c>
    </row>
    <row r="7" spans="1:12" ht="24.75" customHeight="1" thickBot="1" x14ac:dyDescent="0.35">
      <c r="A7" s="98" t="s">
        <v>131</v>
      </c>
      <c r="B7" s="99" t="s">
        <v>136</v>
      </c>
      <c r="C7" s="100">
        <v>0.12333015862150211</v>
      </c>
      <c r="D7" s="100">
        <v>9.6159918498879796E-2</v>
      </c>
      <c r="E7" s="100">
        <v>9.7794402931971572E-2</v>
      </c>
      <c r="F7" s="100">
        <v>0.13966746587109197</v>
      </c>
      <c r="G7" s="100">
        <v>9.9182042780999111E-2</v>
      </c>
      <c r="H7" s="100">
        <v>9.8944214702475969E-2</v>
      </c>
      <c r="I7" s="100">
        <v>0.12954249638288959</v>
      </c>
      <c r="J7" s="100">
        <v>0.12709385122915229</v>
      </c>
      <c r="K7" s="100">
        <v>0.19758167228384579</v>
      </c>
      <c r="L7" s="101">
        <v>0.11090964956795085</v>
      </c>
    </row>
    <row r="8" spans="1:12" ht="33" customHeight="1" thickBot="1" x14ac:dyDescent="0.35">
      <c r="A8" s="102" t="s">
        <v>137</v>
      </c>
      <c r="B8" s="103" t="s">
        <v>138</v>
      </c>
      <c r="C8" s="104">
        <v>6.9495875471298693E-2</v>
      </c>
      <c r="D8" s="105">
        <v>0.18480912631539911</v>
      </c>
      <c r="E8" s="105">
        <v>3.4451340004051624E-2</v>
      </c>
      <c r="F8" s="105">
        <v>8.630795453105225E-2</v>
      </c>
      <c r="G8" s="105">
        <v>5.1925201395687182E-2</v>
      </c>
      <c r="H8" s="105">
        <v>0.13833450002839795</v>
      </c>
      <c r="I8" s="105">
        <v>7.742029818699965E-2</v>
      </c>
      <c r="J8" s="105">
        <v>7.11385056572168E-2</v>
      </c>
      <c r="K8" s="105">
        <v>8.854644064242656E-2</v>
      </c>
      <c r="L8" s="106">
        <v>6.577682974089881E-2</v>
      </c>
    </row>
    <row r="9" spans="1:12" ht="33" customHeight="1" thickBot="1" x14ac:dyDescent="0.35">
      <c r="A9" s="102" t="s">
        <v>139</v>
      </c>
      <c r="B9" s="107" t="s">
        <v>140</v>
      </c>
      <c r="C9" s="104">
        <v>9.7711333306575401E-2</v>
      </c>
      <c r="D9" s="104">
        <v>5.934310648146067E-2</v>
      </c>
      <c r="E9" s="104">
        <v>0.10047037011467319</v>
      </c>
      <c r="F9" s="104">
        <v>0.10303034803305978</v>
      </c>
      <c r="G9" s="104">
        <v>9.4327071174444277E-2</v>
      </c>
      <c r="H9" s="104">
        <v>5.0946314572508637E-2</v>
      </c>
      <c r="I9" s="104">
        <v>0.11197814717175857</v>
      </c>
      <c r="J9" s="104">
        <v>0.10209687359849791</v>
      </c>
      <c r="K9" s="104">
        <v>9.6028911820656607E-2</v>
      </c>
      <c r="L9" s="108">
        <v>9.7153146830285336E-2</v>
      </c>
    </row>
    <row r="10" spans="1:12" ht="31.8" thickBot="1" x14ac:dyDescent="0.35">
      <c r="A10" s="109" t="s">
        <v>141</v>
      </c>
      <c r="B10" s="110" t="s">
        <v>142</v>
      </c>
      <c r="C10" s="111">
        <f>C7+C8+C9</f>
        <v>0.29053736739937619</v>
      </c>
      <c r="D10" s="111">
        <f>D7+D8+D9</f>
        <v>0.34031215129573961</v>
      </c>
      <c r="E10" s="111">
        <f>E7+E8+E9</f>
        <v>0.23271611305069639</v>
      </c>
      <c r="F10" s="111">
        <f>F7+F8+F9</f>
        <v>0.32900576843520402</v>
      </c>
      <c r="G10" s="111">
        <f t="shared" ref="G10:L10" si="0">G7+G8+G9</f>
        <v>0.24543431535113058</v>
      </c>
      <c r="H10" s="111">
        <f t="shared" si="0"/>
        <v>0.28822502930338256</v>
      </c>
      <c r="I10" s="111">
        <f t="shared" si="0"/>
        <v>0.31894094174164783</v>
      </c>
      <c r="J10" s="111">
        <f t="shared" si="0"/>
        <v>0.30032923048486698</v>
      </c>
      <c r="K10" s="111">
        <f t="shared" si="0"/>
        <v>0.38215702474692897</v>
      </c>
      <c r="L10" s="111">
        <f t="shared" si="0"/>
        <v>0.27383962613913504</v>
      </c>
    </row>
    <row r="13" spans="1:12" x14ac:dyDescent="0.3">
      <c r="D13" s="112">
        <f>D3-D4</f>
        <v>4.4853744786868356E-2</v>
      </c>
      <c r="E13" s="112">
        <f t="shared" ref="E13:L13" si="1">E3-E4</f>
        <v>1.9043741731852335E-2</v>
      </c>
      <c r="F13" s="112">
        <f t="shared" si="1"/>
        <v>3.3669026492372564E-2</v>
      </c>
      <c r="G13" s="112">
        <f>G3-G4</f>
        <v>2.0142405177426194E-2</v>
      </c>
      <c r="H13" s="112">
        <f t="shared" si="1"/>
        <v>3.4434113668194544E-2</v>
      </c>
      <c r="I13" s="112">
        <f t="shared" si="1"/>
        <v>2.4603658793982932E-2</v>
      </c>
      <c r="J13" s="112">
        <f t="shared" si="1"/>
        <v>2.2182248080783715E-2</v>
      </c>
      <c r="K13" s="112">
        <f t="shared" si="1"/>
        <v>4.3007102518428569E-2</v>
      </c>
      <c r="L13" s="112">
        <f t="shared" si="1"/>
        <v>2.407263880444788E-2</v>
      </c>
    </row>
  </sheetData>
  <mergeCells count="2">
    <mergeCell ref="A2:B2"/>
    <mergeCell ref="A3:A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0D74-F113-461B-972A-90055BC65959}">
  <dimension ref="A3:D12"/>
  <sheetViews>
    <sheetView workbookViewId="0">
      <selection activeCell="E9" sqref="E9"/>
    </sheetView>
  </sheetViews>
  <sheetFormatPr defaultRowHeight="14.4" x14ac:dyDescent="0.3"/>
  <cols>
    <col min="1" max="1" width="8.88671875" style="53"/>
    <col min="2" max="2" width="13" style="53" customWidth="1"/>
    <col min="3" max="3" width="20.6640625" style="53" customWidth="1"/>
    <col min="4" max="4" width="51.33203125" style="53" customWidth="1"/>
    <col min="5" max="16384" width="8.88671875" style="53"/>
  </cols>
  <sheetData>
    <row r="3" spans="1:4" x14ac:dyDescent="0.3">
      <c r="A3" s="55"/>
      <c r="B3" s="113" t="s">
        <v>100</v>
      </c>
      <c r="C3" s="113" t="s">
        <v>143</v>
      </c>
      <c r="D3" s="113" t="s">
        <v>144</v>
      </c>
    </row>
    <row r="4" spans="1:4" ht="6.6" customHeight="1" x14ac:dyDescent="0.3">
      <c r="A4" s="114"/>
      <c r="B4" s="114"/>
      <c r="C4" s="114"/>
      <c r="D4" s="114"/>
    </row>
    <row r="5" spans="1:4" x14ac:dyDescent="0.3">
      <c r="A5" s="115" t="s">
        <v>145</v>
      </c>
      <c r="B5" s="55" t="s">
        <v>146</v>
      </c>
      <c r="C5" s="55" t="s">
        <v>147</v>
      </c>
      <c r="D5" s="116">
        <v>0</v>
      </c>
    </row>
    <row r="6" spans="1:4" x14ac:dyDescent="0.3">
      <c r="A6" s="115" t="s">
        <v>145</v>
      </c>
      <c r="B6" s="55" t="s">
        <v>148</v>
      </c>
      <c r="C6" s="55" t="s">
        <v>147</v>
      </c>
      <c r="D6" s="117" t="s">
        <v>149</v>
      </c>
    </row>
    <row r="7" spans="1:4" ht="8.4" customHeight="1" x14ac:dyDescent="0.3">
      <c r="A7" s="114"/>
      <c r="B7" s="114"/>
      <c r="C7" s="114"/>
      <c r="D7" s="118"/>
    </row>
    <row r="8" spans="1:4" x14ac:dyDescent="0.3">
      <c r="A8" s="115" t="s">
        <v>145</v>
      </c>
      <c r="B8" s="55" t="s">
        <v>146</v>
      </c>
      <c r="C8" s="55" t="s">
        <v>150</v>
      </c>
      <c r="D8" s="117" t="s">
        <v>151</v>
      </c>
    </row>
    <row r="9" spans="1:4" x14ac:dyDescent="0.3">
      <c r="A9" s="115" t="s">
        <v>145</v>
      </c>
      <c r="B9" s="55" t="s">
        <v>148</v>
      </c>
      <c r="C9" s="55" t="s">
        <v>150</v>
      </c>
      <c r="D9" s="117" t="s">
        <v>152</v>
      </c>
    </row>
    <row r="10" spans="1:4" ht="9.6" customHeight="1" x14ac:dyDescent="0.3">
      <c r="A10" s="114"/>
      <c r="B10" s="114"/>
      <c r="C10" s="114"/>
      <c r="D10" s="118"/>
    </row>
    <row r="11" spans="1:4" x14ac:dyDescent="0.3">
      <c r="A11" s="115" t="s">
        <v>145</v>
      </c>
      <c r="B11" s="55" t="s">
        <v>153</v>
      </c>
      <c r="C11" s="55" t="s">
        <v>154</v>
      </c>
      <c r="D11" s="117" t="s">
        <v>155</v>
      </c>
    </row>
    <row r="12" spans="1:4" x14ac:dyDescent="0.3">
      <c r="A12" s="115" t="s">
        <v>145</v>
      </c>
      <c r="B12" s="55" t="s">
        <v>156</v>
      </c>
      <c r="C12" s="55" t="s">
        <v>154</v>
      </c>
      <c r="D12" s="117" t="s">
        <v>157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Расчёты old</vt:lpstr>
      <vt:lpstr>Расчеты new</vt:lpstr>
      <vt:lpstr>Партнеры</vt:lpstr>
      <vt:lpstr>алгоритм для CRM</vt:lpstr>
      <vt:lpstr>Условия по бонусированию</vt:lpstr>
    </vt:vector>
  </TitlesOfParts>
  <Company>IEK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Волкова Екатерина Евгеньевна</dc:creator>
  <cp:lastModifiedBy>Виталя Покрышкин</cp:lastModifiedBy>
  <dcterms:created xsi:type="dcterms:W3CDTF">2025-11-25T06:15:30Z</dcterms:created>
  <dcterms:modified xsi:type="dcterms:W3CDTF">2026-09-12T01:25:05Z</dcterms:modified>
</cp:coreProperties>
</file>